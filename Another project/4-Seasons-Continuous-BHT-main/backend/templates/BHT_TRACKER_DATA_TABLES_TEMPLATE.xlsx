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drawings/drawing2.xml" ContentType="application/vnd.openxmlformats-officedocument.drawing+xml"/>
  <Override PartName="/xl/ctrlProps/ctrlProp4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esina Adeyemo\FF\"/>
    </mc:Choice>
  </mc:AlternateContent>
  <xr:revisionPtr revIDLastSave="0" documentId="8_{C5A8A963-C05D-4B9B-82D7-ABCE2FE83B88}" xr6:coauthVersionLast="47" xr6:coauthVersionMax="47" xr10:uidLastSave="{00000000-0000-0000-0000-000000000000}"/>
  <bookViews>
    <workbookView xWindow="-120" yWindow="-120" windowWidth="29040" windowHeight="15720" tabRatio="937" xr2:uid="{CB1F1DB3-8CB3-4C4B-AF7D-237EDCD7E645}"/>
  </bookViews>
  <sheets>
    <sheet name="Home" sheetId="21" r:id="rId1"/>
    <sheet name="BackEnd" sheetId="2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59" i="22" l="1" a="1"/>
  <c r="Y58" i="22" a="1"/>
  <c r="Y57" i="22" a="1"/>
  <c r="Y56" i="22" a="1"/>
  <c r="Y55" i="22" a="1"/>
  <c r="Y54" i="22" a="1"/>
  <c r="Y53" i="22" a="1"/>
  <c r="O53" i="22" a="1"/>
  <c r="Y52" i="22" a="1"/>
  <c r="O52" i="22" a="1"/>
  <c r="Y51" i="22" a="1"/>
  <c r="O51" i="22" a="1"/>
  <c r="Y50" i="22" a="1"/>
  <c r="O50" i="22" a="1"/>
  <c r="Y49" i="22" a="1"/>
  <c r="O49" i="22" a="1"/>
  <c r="Y48" i="22" a="1"/>
  <c r="O48" i="22" a="1"/>
  <c r="Y47" i="22" a="1"/>
  <c r="O47" i="22" a="1"/>
  <c r="Y46" i="22" a="1"/>
  <c r="O46" i="22" a="1"/>
  <c r="Y45" i="22" a="1"/>
  <c r="O45" i="22" a="1"/>
  <c r="AM44" i="22" a="1"/>
  <c r="Y44" i="22" a="1"/>
  <c r="O44" i="22" a="1"/>
  <c r="AW43" i="22" a="1"/>
  <c r="AM43" i="22" a="1"/>
  <c r="Y43" i="22" a="1"/>
  <c r="T43" i="22" a="1"/>
  <c r="O43" i="22" a="1"/>
  <c r="AW42" i="22" a="1"/>
  <c r="AM42" i="22" a="1"/>
  <c r="AH42" i="22" a="1"/>
  <c r="Y42" i="22" a="1"/>
  <c r="T42" i="22" a="1"/>
  <c r="O42" i="22" a="1"/>
  <c r="AW41" i="22" a="1"/>
  <c r="AM41" i="22" a="1"/>
  <c r="AH41" i="22" a="1"/>
  <c r="Y41" i="22" a="1"/>
  <c r="T41" i="22" a="1"/>
  <c r="O41" i="22" a="1"/>
  <c r="AW40" i="22" a="1"/>
  <c r="AM40" i="22" a="1"/>
  <c r="AH40" i="22" a="1"/>
  <c r="Y40" i="22" a="1"/>
  <c r="T40" i="22" a="1"/>
  <c r="O40" i="22" a="1"/>
  <c r="AW39" i="22" a="1"/>
  <c r="AM39" i="22" a="1"/>
  <c r="AH39" i="22" a="1"/>
  <c r="Y39" i="22" a="1"/>
  <c r="T39" i="22" a="1"/>
  <c r="O39" i="22" a="1"/>
  <c r="BB38" i="22" a="1"/>
  <c r="AW38" i="22" a="1"/>
  <c r="AR38" i="22" a="1"/>
  <c r="AM38" i="22" a="1"/>
  <c r="AH38" i="22" a="1"/>
  <c r="Y38" i="22" a="1"/>
  <c r="T38" i="22" a="1"/>
  <c r="O38" i="22" a="1"/>
  <c r="BG37" i="22" a="1"/>
  <c r="BB37" i="22" a="1"/>
  <c r="AW37" i="22" a="1"/>
  <c r="AR37" i="22" a="1"/>
  <c r="AM37" i="22" a="1"/>
  <c r="AH37" i="22" a="1"/>
  <c r="Y37" i="22" a="1"/>
  <c r="T37" i="22" a="1"/>
  <c r="O37" i="22" a="1"/>
  <c r="BG36" i="22" a="1"/>
  <c r="BB36" i="22" a="1"/>
  <c r="AW36" i="22" a="1"/>
  <c r="AR36" i="22" a="1"/>
  <c r="AM36" i="22" a="1"/>
  <c r="AH36" i="22" a="1"/>
  <c r="Y36" i="22" a="1"/>
  <c r="T36" i="22" a="1"/>
  <c r="O36" i="22" a="1"/>
  <c r="BG35" i="22" a="1"/>
  <c r="BB35" i="22" a="1"/>
  <c r="AW35" i="22" a="1"/>
  <c r="AR35" i="22" a="1"/>
  <c r="AM35" i="22" a="1"/>
  <c r="AH35" i="22" a="1"/>
  <c r="AD35" i="22" a="1"/>
  <c r="Y35" i="22" a="1"/>
  <c r="T35" i="22" a="1"/>
  <c r="O35" i="22" a="1"/>
  <c r="BG34" i="22" a="1"/>
  <c r="BB34" i="22" a="1"/>
  <c r="AW34" i="22" a="1"/>
  <c r="AR34" i="22" a="1"/>
  <c r="AM34" i="22" a="1"/>
  <c r="AH34" i="22" a="1"/>
  <c r="AD34" i="22" a="1"/>
  <c r="Y34" i="22" a="1"/>
  <c r="T34" i="22" a="1"/>
  <c r="O34" i="22" a="1"/>
  <c r="BG33" i="22" a="1"/>
  <c r="BB33" i="22" a="1"/>
  <c r="AW33" i="22" a="1"/>
  <c r="AR33" i="22" a="1"/>
  <c r="AM33" i="22" a="1"/>
  <c r="AH33" i="22" a="1"/>
  <c r="AD33" i="22" a="1"/>
  <c r="Y33" i="22" a="1"/>
  <c r="T33" i="22" a="1"/>
  <c r="O33" i="22" a="1"/>
  <c r="BG32" i="22" a="1"/>
  <c r="BB32" i="22" a="1"/>
  <c r="AW32" i="22" a="1"/>
  <c r="AR32" i="22" a="1"/>
  <c r="AM32" i="22" a="1"/>
  <c r="AH32" i="22" a="1"/>
  <c r="AD32" i="22" a="1"/>
  <c r="Y32" i="22" a="1"/>
  <c r="T32" i="22" a="1"/>
  <c r="O32" i="22" a="1"/>
  <c r="BG31" i="22" a="1"/>
  <c r="BB31" i="22" a="1"/>
  <c r="AW31" i="22" a="1"/>
  <c r="AR31" i="22" a="1"/>
  <c r="AM31" i="22" a="1"/>
  <c r="AH31" i="22" a="1"/>
  <c r="AD31" i="22" a="1"/>
  <c r="Y31" i="22" a="1"/>
  <c r="T31" i="22" a="1"/>
  <c r="O31" i="22" a="1"/>
  <c r="BG30" i="22" a="1"/>
  <c r="BB30" i="22" a="1"/>
  <c r="AW30" i="22" a="1"/>
  <c r="AR30" i="22" a="1"/>
  <c r="AM30" i="22" a="1"/>
  <c r="AH30" i="22" a="1"/>
  <c r="AD30" i="22" a="1"/>
  <c r="Y30" i="22" a="1"/>
  <c r="T30" i="22" a="1"/>
  <c r="O30" i="22" a="1"/>
  <c r="BG29" i="22" a="1"/>
  <c r="BB29" i="22" a="1"/>
  <c r="AW29" i="22" a="1"/>
  <c r="AR29" i="22" a="1"/>
  <c r="AM29" i="22" a="1"/>
  <c r="AH29" i="22" a="1"/>
  <c r="AD29" i="22" a="1"/>
  <c r="Y29" i="22" a="1"/>
  <c r="T29" i="22" a="1"/>
  <c r="O29" i="22" a="1"/>
  <c r="BG28" i="22" a="1"/>
  <c r="BB28" i="22" a="1"/>
  <c r="AW28" i="22" a="1"/>
  <c r="AR28" i="22" a="1"/>
  <c r="AM28" i="22" a="1"/>
  <c r="AH28" i="22" a="1"/>
  <c r="AD28" i="22" a="1"/>
  <c r="Y28" i="22" a="1"/>
  <c r="T28" i="22" a="1"/>
  <c r="O28" i="22" a="1"/>
  <c r="BG27" i="22" a="1"/>
  <c r="BB27" i="22" a="1"/>
  <c r="AW27" i="22" a="1"/>
  <c r="AR27" i="22" a="1"/>
  <c r="AM27" i="22" a="1"/>
  <c r="AH27" i="22" a="1"/>
  <c r="AD27" i="22" a="1"/>
  <c r="Y27" i="22" a="1"/>
  <c r="T27" i="22" a="1"/>
  <c r="O27" i="22" a="1"/>
  <c r="BG26" i="22" a="1"/>
  <c r="BB26" i="22" a="1"/>
  <c r="AW26" i="22" a="1"/>
  <c r="AR26" i="22" a="1"/>
  <c r="AM26" i="22" a="1"/>
  <c r="AH26" i="22" a="1"/>
  <c r="AD26" i="22" a="1"/>
  <c r="Y26" i="22" a="1"/>
  <c r="T26" i="22" a="1"/>
  <c r="O26" i="22" a="1"/>
  <c r="BG25" i="22" a="1"/>
  <c r="BB25" i="22" a="1"/>
  <c r="AW25" i="22" a="1"/>
  <c r="AR25" i="22" a="1"/>
  <c r="AM25" i="22" a="1"/>
  <c r="AH25" i="22" a="1"/>
  <c r="AD25" i="22" a="1"/>
  <c r="Y25" i="22" a="1"/>
  <c r="T25" i="22" a="1"/>
  <c r="O25" i="22" a="1"/>
  <c r="BG24" i="22" a="1"/>
  <c r="BB24" i="22" a="1"/>
  <c r="AW24" i="22" a="1"/>
  <c r="AR24" i="22" a="1"/>
  <c r="AM24" i="22" a="1"/>
  <c r="AH24" i="22" a="1"/>
  <c r="AD24" i="22" a="1"/>
  <c r="Y24" i="22" a="1"/>
  <c r="T24" i="22" a="1"/>
  <c r="O24" i="22" a="1"/>
  <c r="BG23" i="22" a="1"/>
  <c r="BB23" i="22" a="1"/>
  <c r="AW23" i="22" a="1"/>
  <c r="AR23" i="22" a="1"/>
  <c r="AM23" i="22" a="1"/>
  <c r="AH23" i="22" a="1"/>
  <c r="AD23" i="22" a="1"/>
  <c r="Y23" i="22" a="1"/>
  <c r="T23" i="22" a="1"/>
  <c r="O23" i="22" a="1"/>
  <c r="BG22" i="22" a="1"/>
  <c r="BB22" i="22" a="1"/>
  <c r="AW22" i="22" a="1"/>
  <c r="AR22" i="22" a="1"/>
  <c r="AM22" i="22" a="1"/>
  <c r="AH22" i="22" a="1"/>
  <c r="AD22" i="22" a="1"/>
  <c r="Y22" i="22" a="1"/>
  <c r="T22" i="22" a="1"/>
  <c r="O22" i="22" a="1"/>
  <c r="BG21" i="22" a="1"/>
  <c r="BB21" i="22" a="1"/>
  <c r="AW21" i="22" a="1"/>
  <c r="AR21" i="22" a="1"/>
  <c r="AM21" i="22" a="1"/>
  <c r="AH21" i="22" a="1"/>
  <c r="AD21" i="22" a="1"/>
  <c r="Y21" i="22" a="1"/>
  <c r="T21" i="22" a="1"/>
  <c r="O21" i="22" a="1"/>
  <c r="BG20" i="22" a="1"/>
  <c r="BB20" i="22" a="1"/>
  <c r="AW20" i="22" a="1"/>
  <c r="AR20" i="22" a="1"/>
  <c r="AM20" i="22" a="1"/>
  <c r="AH20" i="22" a="1"/>
  <c r="AD20" i="22" a="1"/>
  <c r="Y20" i="22" a="1"/>
  <c r="T20" i="22" a="1"/>
  <c r="O20" i="22" a="1"/>
  <c r="BG19" i="22" a="1"/>
  <c r="BB19" i="22" a="1"/>
  <c r="AW19" i="22" a="1"/>
  <c r="AR19" i="22" a="1"/>
  <c r="AM19" i="22" a="1"/>
  <c r="AH19" i="22" a="1"/>
  <c r="AD19" i="22" a="1"/>
  <c r="Y19" i="22" a="1"/>
  <c r="T19" i="22" a="1"/>
  <c r="O19" i="22" a="1"/>
  <c r="BG18" i="22" a="1"/>
  <c r="BB18" i="22" a="1"/>
  <c r="AW18" i="22" a="1"/>
  <c r="AR18" i="22" a="1"/>
  <c r="AM18" i="22" a="1"/>
  <c r="AH18" i="22" a="1"/>
  <c r="AD18" i="22" a="1"/>
  <c r="Y18" i="22" a="1"/>
  <c r="T18" i="22" a="1"/>
  <c r="O18" i="22" a="1"/>
  <c r="BG17" i="22" a="1"/>
  <c r="BB17" i="22" a="1"/>
  <c r="AW17" i="22" a="1"/>
  <c r="AR17" i="22" a="1"/>
  <c r="AM17" i="22" a="1"/>
  <c r="AH17" i="22" a="1"/>
  <c r="AD17" i="22" a="1"/>
  <c r="Y17" i="22" a="1"/>
  <c r="T17" i="22" a="1"/>
  <c r="O17" i="22" a="1"/>
  <c r="BG16" i="22" a="1"/>
  <c r="BB16" i="22" a="1"/>
  <c r="AW16" i="22" a="1"/>
  <c r="AR16" i="22" a="1"/>
  <c r="AM16" i="22" a="1"/>
  <c r="AH16" i="22" a="1"/>
  <c r="AD16" i="22" a="1"/>
  <c r="Y16" i="22" a="1"/>
  <c r="T16" i="22" a="1"/>
  <c r="O16" i="22" a="1"/>
  <c r="BG15" i="22" a="1"/>
  <c r="BB15" i="22" a="1"/>
  <c r="AW15" i="22" a="1"/>
  <c r="AR15" i="22" a="1"/>
  <c r="AM15" i="22" a="1"/>
  <c r="AH15" i="22" a="1"/>
  <c r="AD15" i="22" a="1"/>
  <c r="Y15" i="22" a="1"/>
  <c r="T15" i="22" a="1"/>
  <c r="O15" i="22" a="1"/>
  <c r="BG14" i="22" a="1"/>
  <c r="BB14" i="22" a="1"/>
  <c r="AW14" i="22" a="1"/>
  <c r="AR14" i="22" a="1"/>
  <c r="AM14" i="22" a="1"/>
  <c r="AH14" i="22" a="1"/>
  <c r="AD14" i="22" a="1"/>
  <c r="Y14" i="22" a="1"/>
  <c r="T14" i="22" a="1"/>
  <c r="O14" i="22" a="1"/>
  <c r="BG13" i="22" a="1"/>
  <c r="BB13" i="22" a="1"/>
  <c r="AW13" i="22" a="1"/>
  <c r="AR13" i="22" a="1"/>
  <c r="AM13" i="22" a="1"/>
  <c r="AH13" i="22" a="1"/>
  <c r="AD13" i="22" a="1"/>
  <c r="Y13" i="22" a="1"/>
  <c r="T13" i="22" a="1"/>
  <c r="O13" i="22" a="1"/>
  <c r="BG12" i="22" a="1"/>
  <c r="BB12" i="22" a="1"/>
  <c r="AW12" i="22" a="1"/>
  <c r="AR12" i="22" a="1"/>
  <c r="AM12" i="22" a="1"/>
  <c r="AH12" i="22" a="1"/>
  <c r="AD12" i="22" a="1"/>
  <c r="Y12" i="22" a="1"/>
  <c r="T12" i="22" a="1"/>
  <c r="O12" i="22" a="1"/>
  <c r="BG11" i="22" a="1"/>
  <c r="BB11" i="22" a="1"/>
  <c r="AW11" i="22" a="1"/>
  <c r="AR11" i="22" a="1"/>
  <c r="AM11" i="22" a="1"/>
  <c r="AH11" i="22" a="1"/>
  <c r="AD11" i="22" a="1"/>
  <c r="Y11" i="22" a="1"/>
  <c r="T11" i="22" a="1"/>
  <c r="O11" i="22" a="1"/>
  <c r="BG10" i="22" a="1"/>
  <c r="BB10" i="22" a="1"/>
  <c r="AW10" i="22" a="1"/>
  <c r="AR10" i="22" a="1"/>
  <c r="AM10" i="22" a="1"/>
  <c r="AH10" i="22" a="1"/>
  <c r="AD10" i="22" a="1"/>
  <c r="Y10" i="22" a="1"/>
  <c r="T10" i="22" a="1"/>
  <c r="O10" i="22" a="1"/>
  <c r="BG9" i="22" a="1"/>
  <c r="BB9" i="22" a="1"/>
  <c r="AW9" i="22" a="1"/>
  <c r="AR9" i="22" a="1"/>
  <c r="AM9" i="22" a="1"/>
  <c r="AH9" i="22" a="1"/>
  <c r="AD9" i="22" a="1"/>
  <c r="Y9" i="22" a="1"/>
  <c r="T9" i="22" a="1"/>
  <c r="O9" i="22" a="1"/>
  <c r="BG8" i="22" a="1"/>
  <c r="BB8" i="22" a="1"/>
  <c r="AW8" i="22" a="1"/>
  <c r="AR8" i="22" a="1"/>
  <c r="AM8" i="22" a="1"/>
  <c r="AH8" i="22" a="1"/>
  <c r="AD8" i="22" a="1"/>
  <c r="Y8" i="22" a="1"/>
  <c r="T8" i="22" a="1"/>
  <c r="O8" i="22" a="1"/>
  <c r="BG7" i="22" a="1"/>
  <c r="BB7" i="22" a="1"/>
  <c r="AW7" i="22" a="1"/>
  <c r="AR7" i="22" a="1"/>
  <c r="AM7" i="22" a="1"/>
  <c r="AH7" i="22" a="1"/>
  <c r="AD7" i="22" a="1"/>
  <c r="Y7" i="22" a="1"/>
  <c r="T7" i="22" a="1"/>
  <c r="O7" i="22" a="1"/>
  <c r="BG6" i="22" a="1"/>
  <c r="BB6" i="22" a="1"/>
  <c r="AW6" i="22" a="1"/>
  <c r="AR6" i="22" a="1"/>
  <c r="AM6" i="22" a="1"/>
  <c r="AH6" i="22" a="1"/>
  <c r="AD6" i="22" a="1"/>
  <c r="Y6" i="22" a="1"/>
  <c r="T6" i="22" a="1"/>
  <c r="O6" i="22" a="1"/>
  <c r="BG5" i="22" a="1"/>
  <c r="BB5" i="22" a="1"/>
  <c r="AW5" i="22" a="1"/>
  <c r="AR5" i="22" a="1"/>
  <c r="AM5" i="22" a="1"/>
  <c r="AH5" i="22" a="1"/>
  <c r="AD5" i="22" a="1"/>
  <c r="Y5" i="22" a="1"/>
  <c r="T5" i="22" a="1"/>
  <c r="O5" i="22" a="1"/>
  <c r="BG4" i="22" a="1"/>
  <c r="BB4" i="22" a="1"/>
  <c r="AW4" i="22" a="1"/>
  <c r="AR4" i="22" a="1"/>
  <c r="AM4" i="22" a="1"/>
  <c r="AH4" i="22" a="1"/>
  <c r="AD4" i="22" a="1"/>
  <c r="Y4" i="22" a="1"/>
  <c r="T4" i="22" a="1"/>
  <c r="O4" i="22" a="1"/>
  <c r="BG3" i="22" a="1"/>
  <c r="BB3" i="22" a="1"/>
  <c r="AW3" i="22" a="1"/>
  <c r="AR3" i="22" a="1"/>
  <c r="AM3" i="22" a="1"/>
  <c r="AH3" i="22" a="1"/>
  <c r="AD3" i="22" a="1"/>
  <c r="Y3" i="22" a="1"/>
  <c r="T3" i="22" a="1"/>
  <c r="O3" i="22" a="1"/>
  <c r="BG2" i="22" a="1"/>
  <c r="BB2" i="22" a="1"/>
  <c r="AW2" i="22" a="1"/>
  <c r="AR2" i="22" a="1"/>
  <c r="AM2" i="22" a="1"/>
  <c r="AH2" i="22" a="1"/>
  <c r="AD2" i="22" a="1"/>
  <c r="Y2" i="22" a="1"/>
  <c r="T2" i="22" a="1"/>
  <c r="O2" i="22" a="1"/>
  <c r="D62" i="21"/>
  <c r="D63" i="21"/>
  <c r="D64" i="21"/>
  <c r="D65" i="21"/>
  <c r="D66" i="21"/>
  <c r="D67" i="21"/>
  <c r="D68" i="21"/>
  <c r="D69" i="21"/>
  <c r="F5" i="22"/>
  <c r="C63" i="21" a="1"/>
  <c r="C64" i="21" a="1"/>
  <c r="C65" i="21" a="1"/>
  <c r="C62" i="21" a="1"/>
  <c r="C69" i="21" a="1"/>
  <c r="C66" i="21" a="1"/>
  <c r="C68" i="21" a="1"/>
  <c r="C67" i="21" a="1"/>
  <c r="A6" i="22" l="1" a="1"/>
  <c r="D19" i="21" s="1"/>
  <c r="C57" i="21" a="1"/>
  <c r="C56" i="21" a="1"/>
  <c r="C44" i="21" a="1"/>
  <c r="C42" i="21" a="1"/>
  <c r="C34" i="21" a="1"/>
  <c r="C26" i="21" a="1"/>
  <c r="C23" i="21" a="1"/>
  <c r="C60" i="21" a="1"/>
  <c r="C49" i="21" a="1"/>
  <c r="C47" i="21" a="1"/>
  <c r="C36" i="21" a="1"/>
  <c r="C51" i="21" a="1"/>
  <c r="C61" i="21" a="1"/>
  <c r="C10" i="21" a="1"/>
  <c r="C53" i="21" a="1"/>
  <c r="C58" i="21" a="1"/>
  <c r="C45" i="21" a="1"/>
  <c r="C55" i="21" a="1"/>
  <c r="C19" i="21" a="1"/>
  <c r="C21" i="21" a="1"/>
  <c r="C31" i="21" a="1"/>
  <c r="C18" i="21" a="1"/>
  <c r="C50" i="21" a="1"/>
  <c r="C41" i="21" a="1"/>
  <c r="C54" i="21" a="1"/>
  <c r="C20" i="21" a="1"/>
  <c r="C25" i="21" a="1"/>
  <c r="C46" i="21" a="1"/>
  <c r="C12" i="21" a="1"/>
  <c r="C17" i="21" a="1"/>
  <c r="C38" i="21" a="1"/>
  <c r="C28" i="21" a="1"/>
  <c r="C33" i="21" a="1"/>
  <c r="C22" i="21" a="1"/>
  <c r="C52" i="21" a="1"/>
  <c r="C48" i="21" a="1"/>
  <c r="C14" i="21" a="1"/>
  <c r="C59" i="21" a="1"/>
  <c r="C32" i="21" a="1"/>
  <c r="C30" i="21" a="1"/>
  <c r="C16" i="21" a="1"/>
  <c r="C43" i="21" a="1"/>
  <c r="C40" i="21" a="1"/>
  <c r="C35" i="21" a="1"/>
  <c r="C24" i="21" a="1"/>
  <c r="C27" i="21" a="1"/>
  <c r="C37" i="21" a="1"/>
  <c r="C39" i="21" a="1"/>
  <c r="C11" i="21" a="1"/>
  <c r="C13" i="21" a="1"/>
  <c r="C29" i="21" a="1"/>
  <c r="C15" i="21" a="1"/>
  <c r="D41" i="21"/>
  <c r="D48" i="21"/>
  <c r="D12" i="21"/>
  <c r="D42" i="21"/>
  <c r="D32" i="21"/>
  <c r="D43" i="21"/>
  <c r="D15" i="21"/>
  <c r="D21" i="21"/>
  <c r="D60" i="21"/>
  <c r="D36" i="21"/>
  <c r="D54" i="21"/>
  <c r="D35" i="21"/>
  <c r="D59" i="21"/>
  <c r="D45" i="21"/>
  <c r="D23" i="21"/>
  <c r="D34" i="21"/>
  <c r="D55" i="21"/>
  <c r="D39" i="21"/>
  <c r="D18" i="21"/>
  <c r="D57" i="21"/>
  <c r="D49" i="21"/>
  <c r="D40" i="21"/>
  <c r="D51" i="21"/>
  <c r="D17" i="21"/>
  <c r="D44" i="21"/>
  <c r="D25" i="21"/>
  <c r="D10" i="21"/>
  <c r="D16" i="21"/>
  <c r="D27" i="21"/>
  <c r="D38" i="21"/>
  <c r="D47" i="21"/>
  <c r="D11" i="21"/>
  <c r="D37" i="21"/>
  <c r="D61" i="21"/>
  <c r="D46" i="21"/>
  <c r="D30" i="21"/>
  <c r="D14" i="21"/>
  <c r="D50" i="21"/>
  <c r="D58" i="21"/>
  <c r="D29" i="21"/>
  <c r="D13" i="21"/>
  <c r="D24" i="21"/>
  <c r="D20" i="21"/>
  <c r="D56" i="21"/>
  <c r="D33" i="21"/>
  <c r="D53" i="21"/>
  <c r="D26" i="21"/>
  <c r="D52" i="21"/>
  <c r="D28" i="21"/>
  <c r="D22" i="21"/>
  <c r="D31" i="2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<sst xmlns="http://schemas.openxmlformats.org/spreadsheetml/2006/main" count="869" uniqueCount="494">
  <si>
    <t>BC_BAU1A. When you think of Breakfast  Breakfast Cereals, what brand comes to your mind first?</t>
  </si>
  <si>
    <t>BC_BAU1B. What other brands of Breakfast Cereals can you think of?  Any other? Please mention as many brands as you can think of:</t>
  </si>
  <si>
    <t>BC_BAU1C. Which Cereal brand first comes to your mind when you think of advertisements of brands of Bleach in the past 3 ROLL_MONTHs?</t>
  </si>
  <si>
    <t>BC_BAU1D. Which other brand of Breakfast Cereals advertisement are you aware of?</t>
  </si>
  <si>
    <t>BC_BAU2. Please take a look at this and tell me which brand of Breakfast Cereals are you aware of?</t>
  </si>
  <si>
    <t>BC_BAU3. Which other brands in this list do you remember having seen, read or heard any advertising or activities for recently?</t>
  </si>
  <si>
    <t>BC_BAU4. Where have you seen or heard any advertisement/communication about Blue Boat</t>
  </si>
  <si>
    <t>BC_BAU4. Where have you seen or heard any advertisement/communication about Candia Cereal</t>
  </si>
  <si>
    <t>BC_BAU4. Where have you seen or heard any advertisement/communication about Choco Milo</t>
  </si>
  <si>
    <t>BC_BAU4. Where have you seen or heard any advertisement/communication about Crownfield Cornflakes</t>
  </si>
  <si>
    <t>BC_BAU4. Where have you seen or heard any advertisement/communication about Frosted Flakes</t>
  </si>
  <si>
    <t>BC_BAU4. Where have you seen or heard any advertisement/communication about Golden Morn</t>
  </si>
  <si>
    <t>BC_BAU4. Where have you seen or heard any advertisement/communication about Good Morning Cornflakes</t>
  </si>
  <si>
    <t>BC_BAU4. Where have you seen or heard any advertisement/communication about Harvest Morn Cornflakes</t>
  </si>
  <si>
    <t>BC_BAU4. Where have you seen or heard any advertisement/communication about Honey Bunches of Oats</t>
  </si>
  <si>
    <t>BC_BAU4. Where have you seen or heard any advertisement/communication about Infinity Cornflakes</t>
  </si>
  <si>
    <t>BC_BAU4. Where have you seen or heard any advertisement/communication about Kellogg’s Coco Pops</t>
  </si>
  <si>
    <t>BC_BAU4. Where have you seen or heard any advertisement/communication about Kellogg’s Cornflakes</t>
  </si>
  <si>
    <t>BC_BAU4. Where have you seen or heard any advertisement/communication about Kellogg’s Rice Krispies</t>
  </si>
  <si>
    <t>BC_BAU4. Where have you seen or heard any advertisement/communication about Luna Cereal</t>
  </si>
  <si>
    <t>BC_BAU4. Where have you seen or heard any advertisement/communication about NASCO Cornflakes</t>
  </si>
  <si>
    <t>BC_BAU4. Where have you seen or heard any advertisement/communication about Nestlé Milo Cereal</t>
  </si>
  <si>
    <t>BC_BAU4. Where have you seen or heard any advertisement/communication about Oat Krunch</t>
  </si>
  <si>
    <t>BC_BAU4. Where have you seen or heard any advertisement/communication about Ovaltine Cornflakes</t>
  </si>
  <si>
    <t>BC_BAU4. Where have you seen or heard any advertisement/communication about Quaker Oats</t>
  </si>
  <si>
    <t>BC_BAU4. Where have you seen or heard any advertisement/communication about Supreme Cornflakes</t>
  </si>
  <si>
    <t>BC_BAU4. Where have you seen or heard any advertisement/communication about Three Crowns Milk Cereal</t>
  </si>
  <si>
    <t>BC_BAU4. Where have you seen or heard any advertisement/communication about Weetabix</t>
  </si>
  <si>
    <t>BC_BAU4. Where have you seen or heard any advertisement/communication about Amazing Day</t>
  </si>
  <si>
    <t>BC_BAU4. Where have you seen or heard any advertisement/communication about Kellogg’s Moons and Stars</t>
  </si>
  <si>
    <t>BC_BAU4. Where have you seen or heard any advertisement/communication about Kellogg’s Frosties</t>
  </si>
  <si>
    <t>BC_BAU4. Where have you seen or heard any advertisement/communication about Kellogg’s Go Grain</t>
  </si>
  <si>
    <t>BC_BAU4. Where have you seen or heard any advertisement/communication about Fun Snax Choco Champs</t>
  </si>
  <si>
    <t>BC_BAU4. Where have you seen or heard any advertisement/communication about Fun Snax Chocomalt</t>
  </si>
  <si>
    <t>BC_BAU4. Where have you seen or heard any advertisement/communication about Infinity Coco Balls</t>
  </si>
  <si>
    <t>BC_BAU4. Where have you seen or heard any advertisement/communication about NASCO Koko Pops</t>
  </si>
  <si>
    <t>BC_BAU4. Where have you seen or heard any advertisement/communication about Sunvita</t>
  </si>
  <si>
    <t>BC_BAU4. Where have you seen or heard any advertisement/communication about Others</t>
  </si>
  <si>
    <t>BC_BAU5A. Which of these Cereal brands have you ever consumed?</t>
  </si>
  <si>
    <t>BC_BAU5C. Which of these Cereal brands have you consumed in the last 3 ROLL_MONTHs?</t>
  </si>
  <si>
    <t>BC_BAU6A. Which of these Cereal brands have you consumed in the last 1 ROLL_MONTH?</t>
  </si>
  <si>
    <t>BC_BAU6B. Which of these Cereal brands have you consumed in the last 7 days?</t>
  </si>
  <si>
    <t>BC_BAU6C. Which one brand of Cereal do you consume most often and would call as your main brand?</t>
  </si>
  <si>
    <t>BC_BAU6D. Please tell me the primary reason for consuming the Brand____</t>
  </si>
  <si>
    <t>BC_BAU8. Which of these brands of Cereal do you prefer the most?</t>
  </si>
  <si>
    <t>BC_BAU9. How often do you purchase Breakfast Cereals?</t>
  </si>
  <si>
    <t>BC_BAU10. What pack size of Breakfast Cereals do you buy most often?</t>
  </si>
  <si>
    <t>BC_QBI. (Has Good Taste) Now we would like your impressions of some Cereal brands, whether or not you have tried them yourself</t>
  </si>
  <si>
    <t>BC_QBI. (Contains Vitamins &amp; Minerals) Now we would like your impressions of some Cereal brands, whether or not you have tried them yourself</t>
  </si>
  <si>
    <t>BC_QBI. (Kids love it) Now we would like your impressions of some Cereal brands, whether or not you have tried them yourself</t>
  </si>
  <si>
    <t>BC_QBI. (Healthy breakfast) Now we would like your impressions of some Cereal brands, whether or not you have tried them yourself</t>
  </si>
  <si>
    <t>BC_QBI. (World’s No.1 breakfast cereal) Now we would like your impressions of some Cereal brands, whether or not you have tried them yourself</t>
  </si>
  <si>
    <t>BC_QBI. (It is good for the entire family) Now we would like your impressions of some Cereal brands, whether or not you have tried them yourself</t>
  </si>
  <si>
    <t>QBI Summary: Breakfast Cereals</t>
  </si>
  <si>
    <t>Breakfast Cereal - Brand Total Spont</t>
  </si>
  <si>
    <t>Breakfast Cereal - Brand Total Awareness</t>
  </si>
  <si>
    <t>Breakfast Cereal - Ad Total Spont</t>
  </si>
  <si>
    <t>Breakfast Cereal - Ad Total Awareness</t>
  </si>
  <si>
    <t>BL_BAU1A. When you think of Bleach, what brand comes to your mind first?</t>
  </si>
  <si>
    <t>BL_BAU1B. What other brands of Bleach can you think of?  Any other? Please mention as many brands as you can think of:</t>
  </si>
  <si>
    <t>BL_BAU1C. Which Bleach brand first comes to your mind when you think of advertisements of brands of Bleach in the past 3 ROLL_MONTHs?</t>
  </si>
  <si>
    <t>BL_BAU1D. Which other brand of Bleach advertisement are you aware of?</t>
  </si>
  <si>
    <t>BL_BAU2. Please take a look at this and tell me which brand of Bleach are you aware of?</t>
  </si>
  <si>
    <t>BL_BAU3. Which other brands in this list do you remember having seen, read or heard any advertising or activities for recently?</t>
  </si>
  <si>
    <t>BL_BAU4. Where have you seen or heard any advertisement/communication about JIK</t>
  </si>
  <si>
    <t>BL_BAU4. Where have you seen or heard any advertisement/communication about Hypo</t>
  </si>
  <si>
    <t>BL_BAU4. Where have you seen or heard any advertisement/communication about Clor</t>
  </si>
  <si>
    <t>BL_BAU4. Where have you seen or heard any advertisement/communication about Kick</t>
  </si>
  <si>
    <t>BL_BAU4. Where have you seen or heard any advertisement/communication about Izola</t>
  </si>
  <si>
    <t>BL_BAU5A. Which of these Bleach brands have you ever used?</t>
  </si>
  <si>
    <t>BL_BAU5C. Which of these Bleach brands have you used in the last 3 ROLL_MONTHs?</t>
  </si>
  <si>
    <t>BL_BAU6A. Which of these Bleach brands have you used in the last 1 ROLL_MONTH?</t>
  </si>
  <si>
    <t>BL_BAU6B. Which of these Bleach brands have you used in the last 7 days?</t>
  </si>
  <si>
    <t>BL_BAU6C. Which one brand of Bleach do you consume most often and would call your main brand?</t>
  </si>
  <si>
    <t>BL_BAU6D. Please tell me the primary reason for consuming the brand</t>
  </si>
  <si>
    <t>BL_BAU8. Which of these brands of Bleach do you prefer the most?</t>
  </si>
  <si>
    <t>BL_BAU9. How often do you purchase bleach?</t>
  </si>
  <si>
    <t>BL_BAU10. What pack size of bleach do you buy most often?</t>
  </si>
  <si>
    <t>BL_QBI. (Wipes off stains from hard surfaces such as sinks &amp; tiles better than detergent alone) Impressions of Bleach brands</t>
  </si>
  <si>
    <t>BL_QBI. (It is good for everyday use) Impressions of Bleach brands</t>
  </si>
  <si>
    <t>BL_QBI. (Kills germs/Better hygiene) Impressions of Bleach brands</t>
  </si>
  <si>
    <t>BL_QBI. (Available in different pack sizes) Impressions of Bleach brands</t>
  </si>
  <si>
    <t>BL_QBI. (Has multipurpose product that can be used for other uses also) Impressions of Bleach brands</t>
  </si>
  <si>
    <t>QBI Summary: Bleach</t>
  </si>
  <si>
    <t>BL_QB1. Do you remember seeing this advert recently?</t>
  </si>
  <si>
    <t>BL_QB2. Where did you see this advert?</t>
  </si>
  <si>
    <t>BL_QB4. What was the main message of the ad you just saw?</t>
  </si>
  <si>
    <t>Bleach - Brand Total Spont</t>
  </si>
  <si>
    <t>Bleach - Brand Total Awareness</t>
  </si>
  <si>
    <t>Bleach - Ad Total Spont</t>
  </si>
  <si>
    <t>Bleach - Ad Total Awareness</t>
  </si>
  <si>
    <t>CM_BAU1A. When you think of Condiments, what brand comes to your mind first?</t>
  </si>
  <si>
    <t>CM_BAU1B. What other brands of Condiments can you think of? Any other? Please mention as many brands as you can think of</t>
  </si>
  <si>
    <t>CM_BAU1C. Which Condiment mix brand first comes to your mind when you think of advertisements of brands of Condiments in the past 3 ROLL_MONTHs?</t>
  </si>
  <si>
    <t>CM_BAU1D. Which other brand of Condiments advertisement are you aware of</t>
  </si>
  <si>
    <t>CM_BAU2. Please take a look at this and tell me which brand of Condiments are you aware of?</t>
  </si>
  <si>
    <t>CM_BAU3. Which other brands in this list do you remember having seen, read or heard any advertising or activities for recently</t>
  </si>
  <si>
    <t>CM_BAU4. And where have you seen or heard any advertisement/communication about Maggi Cubes</t>
  </si>
  <si>
    <t>CM_BAU4. And where have you seen or heard any advertisement/communication about Knorr Cubes</t>
  </si>
  <si>
    <t>CM_BAU4. And where have you seen or heard any advertisement/communication about Royco Seasoning</t>
  </si>
  <si>
    <t>CM_BAU4. And where have you seen or heard any advertisement/communication about Addmie</t>
  </si>
  <si>
    <t>CM_BAU4. And where have you seen or heard any advertisement/communication about Ducros Curry Powder</t>
  </si>
  <si>
    <t>CM_BAU4. And where have you seen or heard any advertisement/communication about Onga Seasoning</t>
  </si>
  <si>
    <t>CM_BAU4. And where have you seen or heard any advertisement/communication about Ajinomoto</t>
  </si>
  <si>
    <t>CM_BAU4. And where have you seen or heard any advertisement/communication about Doyin Seasoning</t>
  </si>
  <si>
    <t>CM_BAU4. And where have you seen or heard any advertisement/communication about Suppy Seasoning</t>
  </si>
  <si>
    <t>CM_BAU4 And where have you seen or heard any advertisement/communication about Gino Curry Powder</t>
  </si>
  <si>
    <t>CM_BAU4 And where have you seen or heard any advertisement/communication about Benny Chicken Seasoning</t>
  </si>
  <si>
    <t>CM_BAU4 And where have you seen or heard any advertisement/communication about Others</t>
  </si>
  <si>
    <t>CM_BAU5A. Which of these Condiment mix brands have you ever used</t>
  </si>
  <si>
    <t>CM_BAU5C. And which of these Condiment mix brands have you used in the last 3 ROLL_MONTHs</t>
  </si>
  <si>
    <t>CM_BAU6A. And which of these Condiment mix brands have you used in the last 1 ROLL_MONTH</t>
  </si>
  <si>
    <t>CM_BAU6B. And which of these Condiment mix brands have you used in the last 7 days</t>
  </si>
  <si>
    <t>CM_BAU6C. Which one brand of Condiment mix do you consume most often and would call as your main brand?</t>
  </si>
  <si>
    <t>CM_BAU6D. Please tell me the primary reason for consuming the Brand</t>
  </si>
  <si>
    <t>CM_BAU8. Which of these brands of Condiment mix do you prefer the most?</t>
  </si>
  <si>
    <t>CM_BAU9. How often do you purchase Condiment Mix?</t>
  </si>
  <si>
    <t>CM_BAU10. What pack size of Condiment Mix do you buy most often?</t>
  </si>
  <si>
    <t>CM_QBI. (Enhances the taste of my meal) Now we would like your impressions of some Condiment mix brands, whether or not you have tried them yourself</t>
  </si>
  <si>
    <t>CM_QBI. (Allows me to add more vegetables to my meals) Now we would like your impressions of some Condiment mix brands, whether or not you have tried them yourself.</t>
  </si>
  <si>
    <t>CM_QBI. (Reduced stress and time of cutting/chopping vegetables) Now we would like your impressions of some Condiment mix brands, whether or not you have tried them yourself.</t>
  </si>
  <si>
    <t>CM_QBI. (It is very easy/convenient to use) Now we would like your impressions of some Condiment mix brands, whether or not you have tried them yourself</t>
  </si>
  <si>
    <t>CM_QBI. (It makes my meal more nutritious) Now we would like your impressions of some Condiment mix brands, whether or not you have tried them yourself.</t>
  </si>
  <si>
    <t>QBI Summary: Condiment Mixes</t>
  </si>
  <si>
    <t>Condiment Mixes - Brand Total Spont</t>
  </si>
  <si>
    <t>Condiment Mixes - Brand Total Awareness</t>
  </si>
  <si>
    <t>Condiment Mixes - Ad Total Spont</t>
  </si>
  <si>
    <t>Condiment Mixes - Ad Total Awareness</t>
  </si>
  <si>
    <t>DH_BAU1A. When you think of Hair Extensions, what brand comes to your mind first?</t>
  </si>
  <si>
    <t>DH_BAU1B. What other brands of Hair Extensions can you think of? Please mention as many as you can</t>
  </si>
  <si>
    <t>DH_BAU1D. Which other brand of Hair Extensions advertisement are you aware of</t>
  </si>
  <si>
    <t>DH_BAU2. Please take a look and tell me which brand of Hair Extensions you are aware of</t>
  </si>
  <si>
    <t>DH_BAU3. Which other brands in this list do you remember seeing or hearing advertised recently</t>
  </si>
  <si>
    <t>DH_BAU4. Where have you seen or heard any advertisement about AMIGO</t>
  </si>
  <si>
    <t>DH_BAU4. Where have you seen or heard any advertisement about BELLA</t>
  </si>
  <si>
    <t>DH_BAU4. Where have you seen or heard any advertisement about DARLING</t>
  </si>
  <si>
    <t>DH_BAU4. Where have you seen or heard any advertisement about LUSH</t>
  </si>
  <si>
    <t>DH_BAU4. Where have you seen or heard any advertisement about NOBLE</t>
  </si>
  <si>
    <t>DH_BAU4. Where have you seen or heard any advertisement about XPRESSION</t>
  </si>
  <si>
    <t>DH_BAU4. Where have you seen or heard any advertisement about LADY STAR</t>
  </si>
  <si>
    <t>DH_BAU4. Where have you seen or heard any advertisement about NAOMI</t>
  </si>
  <si>
    <t>DH_BAU4. Where have you seen or heard any advertisement about X-PRESTIGE</t>
  </si>
  <si>
    <t>DH_BAU4. Where have you seen or heard any advertisement about AVIV</t>
  </si>
  <si>
    <t>DH_BAU4. Where have you seen or heard any advertisement about HairSense</t>
  </si>
  <si>
    <t>DH_BAU4. And where have you seen or heard any advertisement/communication about Others</t>
  </si>
  <si>
    <t>DH_BAU5A. Which of these Hair Extension brands have you ever used</t>
  </si>
  <si>
    <t>DH_BAU6A. Which of these Hair Extension brands have you used in the last 1 ROLL_MONTH</t>
  </si>
  <si>
    <t>DH_BAU6B. Which of these Hair Extension brands have you used in the last 7 days</t>
  </si>
  <si>
    <t>DH_BAU6C. Which one brand of Hair Extension do you consume most often and would call your main brand</t>
  </si>
  <si>
    <t>DH_BAU6D. Please tell me the primary reason for consuming the Brand</t>
  </si>
  <si>
    <t>DH_BAU8. Which of these brands of Hair Extension do you prefer the most</t>
  </si>
  <si>
    <t>DH_QBI. (Makes me feel confident) Your impressions of some Hair Extension brands, whether or not you have tried them.</t>
  </si>
  <si>
    <t>DH_QBI. (Makes me feel beautiful) Your impressions of some Hair Extension brands, whether or not you have tried them.</t>
  </si>
  <si>
    <t>DH_QBI. (Allows me to wear different styles) Your impressions of some Hair Extension brands, whether or not you have tried them</t>
  </si>
  <si>
    <t>DH_QBI. (Is value for my money) Your impressions of some Hair Extension brands, whether or not you have tried them</t>
  </si>
  <si>
    <t>DH_QBI. (Is available in different colours) Your impressions of some Hair Extension brands, whether or not you have tried them</t>
  </si>
  <si>
    <t>QBI Summary: Dry Hair</t>
  </si>
  <si>
    <t>Dry Hair - Brand Total Spont</t>
  </si>
  <si>
    <t>Dry Hair - Brand Total Awareness</t>
  </si>
  <si>
    <t>Dry Hair - Ad Total Spont</t>
  </si>
  <si>
    <t>Dry Hair - Ad Total Awareness</t>
  </si>
  <si>
    <t>EO_BAU1A. When you think of Cooking Oil, what brand comes to your mind first?</t>
  </si>
  <si>
    <t>EO_BAU1B. What other brands of Cooking Oils can you think of? Please mention as many as you can.</t>
  </si>
  <si>
    <t>EO_BAU1C. Which Cooking Oils brand first comes to your mind when you think of advertisements in the past 3 ROLL_MONTHs?</t>
  </si>
  <si>
    <t>EO_BAU1D. Which other brands of Cooking Oils advertisements are you aware of?</t>
  </si>
  <si>
    <t>EO_BAU2. Please tell me which brands of Cooking Oils you are aware of.</t>
  </si>
  <si>
    <t>EO_BAU3. Which other brands in this list do you remember seeing or hearing advertising for recently?</t>
  </si>
  <si>
    <t>EO_BAU4. Where have you seen or heard any advertisement about Power Oil?</t>
  </si>
  <si>
    <t>EO_BAU4. Where have you seen or heard any advertisement about Mamador?</t>
  </si>
  <si>
    <t>EO_BAU4. Where have you seen or heard any advertisement about Golden Terra?</t>
  </si>
  <si>
    <t>EO_BAU4. Where have you seen or heard any advertisement about Active Gold?</t>
  </si>
  <si>
    <t>EO_BAU4. Where have you seen or heard any advertisement about Emperor?</t>
  </si>
  <si>
    <t>EO_BAU4. Where have you seen or heard any advertisement about Golden Penny?</t>
  </si>
  <si>
    <t>EO_BAU4. Where have you seen or heard any advertisement about Grand?</t>
  </si>
  <si>
    <t>EO_BAU4. Where have you seen or heard any advertisement about Laziz?</t>
  </si>
  <si>
    <t>EO_BAU4. Where have you seen or heard any advertisement about Laser?</t>
  </si>
  <si>
    <t>EO_BAU4. Where have you seen or heard any advertisement about Devon King’s?</t>
  </si>
  <si>
    <t>EO_BAU4. Where have you seen or heard any advertisement about Sunola?</t>
  </si>
  <si>
    <t>EO_BAU4. Where have you seen or heard any advertisement about Wesson?</t>
  </si>
  <si>
    <t>EO_BAU4. Where have you seen or heard any advertisement about Activa?</t>
  </si>
  <si>
    <t>EO_BAU4. Where have you seen or heard any advertisement about Casa de Campo?</t>
  </si>
  <si>
    <t>EO_BAU4. Where have you seen or heard any advertisement about Unbranded/Loose Oil?</t>
  </si>
  <si>
    <t>EO_BAU4. Where have you seen or heard any advertisement/communication about Others</t>
  </si>
  <si>
    <t>EO_BAU5A. Which of these Cooking Oils brands have you ever used?</t>
  </si>
  <si>
    <t>EO_BAU5C. Which of these Cooking Oils brands have you used in the last 3 ROLL_MONTHs?</t>
  </si>
  <si>
    <t>EO_BAU6A. Which of these Cooking Oils brands have you used in the last 1 ROLL_MONTH?</t>
  </si>
  <si>
    <t>EO_BAU6B. Which of these Cooking Oils brands have you used in the last 7 days?</t>
  </si>
  <si>
    <t>EO_BAU6C. Which one brand of Cooking Oils do you consume most often and would call your main brand?</t>
  </si>
  <si>
    <t>EO_BAU6D. Please tell me the primary reason for consuming the brand.</t>
  </si>
  <si>
    <t>EO_BAU8. Which of these brands of Cooking Oils do you prefer the most?</t>
  </si>
  <si>
    <t>EO_BAU9. How often do you purchase cooking oil?</t>
  </si>
  <si>
    <t>EO_BAU10. What cooking oil pack size do you buy most often?</t>
  </si>
  <si>
    <t>EO_QBI. (I am proud to identify with the brand) – Impressions of Cooking Oils brands.</t>
  </si>
  <si>
    <t>EO_QBI. (It is healthy) – Impressions of Cooking Oils brands.</t>
  </si>
  <si>
    <t>EO_QBI. (It’s good for the heart) – Impressions of Cooking Oils brands.</t>
  </si>
  <si>
    <t>EO_QBI. (Does not settle/freeze/spoil easily) – Impressions of Cooking Oils brands.</t>
  </si>
  <si>
    <t>EO_QBI. (Has low/no cholesterol) – Impressions of Cooking Oils brands.</t>
  </si>
  <si>
    <t>QBI Summary: Edible Oil</t>
  </si>
  <si>
    <t>Edible Oil - Brand Total Spont</t>
  </si>
  <si>
    <t>Edible Oil - Brand Total Awareness</t>
  </si>
  <si>
    <t>Edible Oil - Ad Total Spont</t>
  </si>
  <si>
    <t>Edible Oil - Ad Total Awareness</t>
  </si>
  <si>
    <t>N_BAU1A. When you think of Instant Noodles, what brand comes to your mind first?</t>
  </si>
  <si>
    <t>N_BAU1B. What other brands of Instant Noodles can you think of? Any other? Please mention as many brands as you can think of?</t>
  </si>
  <si>
    <t>N_BAU1C. Which instant Noodles brand first comes to your mind when you think of advertisements in the past 3 ROLL_MONTHs?</t>
  </si>
  <si>
    <t>N_BAU1D. Which other brand of instant Noodles advertisement are you aware of?</t>
  </si>
  <si>
    <t>N_BAU2. Please take a look at this and tell me which brand of Instant Noodles are you aware of?</t>
  </si>
  <si>
    <t>N_BAU3. Which other brands in this list do you remember seeing, reading or hearing any advertising for recently?</t>
  </si>
  <si>
    <t>N_BAU4. And where have you seen or heard any advertisement/communication about Chikki</t>
  </si>
  <si>
    <t>N_BAU4. And where have you seen or heard any advertisement/communication about Cherie</t>
  </si>
  <si>
    <t>N_BAU4. And where have you seen or heard any advertisement/communication about Golden Penny</t>
  </si>
  <si>
    <t>N_BAU4. And where have you seen or heard any advertisement/communication about Indomie</t>
  </si>
  <si>
    <t>N_BAU4. And where have you seen or heard any advertisement/communication about Mimee</t>
  </si>
  <si>
    <t>N_BAU4. And where have you seen or heard any advertisement/communication about Tummy Tummy</t>
  </si>
  <si>
    <t>N_BAU4. And where have you seen or heard any advertisement/communication about Minimie</t>
  </si>
  <si>
    <t>N_BAU4. And where have you seen or heard any advertisement/communication about Supreme</t>
  </si>
  <si>
    <t>N_BAU4. And where have you seen or heard any advertisement/communication about Honeywell</t>
  </si>
  <si>
    <t>N_BAU4. And where have you seen or heard any advertisement/communication about Tasty Tom</t>
  </si>
  <si>
    <t>N_BAU4. And where have you seen or heard any advertisement/communication about Jolly Jolly</t>
  </si>
  <si>
    <t>N_BAU4. And where have you seen or heard any advertisement/communication about Masters</t>
  </si>
  <si>
    <t>N_BAU4. And where have you seen or heard any advertisement/communication about Bestie</t>
  </si>
  <si>
    <t>N_BAU4. And where have you seen or heard any advertisement/communication about Others</t>
  </si>
  <si>
    <t>N_BAU5A. Which of these instant Noodles brands have you ever consumed?</t>
  </si>
  <si>
    <t>N_BAU5C. And which of these instant Noodles brands have you consumed in the last 3 ROLL_MONTHs?</t>
  </si>
  <si>
    <t>N_BAU6A. And which of these instant Noodles brands have you consumed in the last 1 ROLL_MONTH?</t>
  </si>
  <si>
    <t>N_BAU6B. And which of these instant Noodles brands have you consumed in the last 7 days?</t>
  </si>
  <si>
    <t>N_BAU6C. Which one brand of instant noodles do you consume most often and would call as your main brand?</t>
  </si>
  <si>
    <t>N_BAU6D. Please tell me the primary reason for consuming the Brand____</t>
  </si>
  <si>
    <t>N_BAU8. Which of these brands of Instant Noodles do you prefer the most?</t>
  </si>
  <si>
    <t>N_BAU9. How often do you purchase instant noodles?</t>
  </si>
  <si>
    <t>N_BAU10. What pack size do you buy most often?</t>
  </si>
  <si>
    <t>N_QBI (Great taste /great tasting) Now we would like your impressions of some INSTANT NOODLES brands, whether or not you have tried them yourself</t>
  </si>
  <si>
    <t>N_QBI (Satisfying/Filling for you) Now we would like your impressions of some INSTANT NOODLES brands, whether or not you have tried them yourself</t>
  </si>
  <si>
    <t>N_QBI (Good for children) Now we would like your impressions of some INSTANT NOODLES brands, whether or not you have tried them yourself</t>
  </si>
  <si>
    <t>N_QBI (Rich in Vitamins and Protein/Nutritious) Now we would like your impressions of some INSTANT NOODLES brands, whether or not you have tried them yourself</t>
  </si>
  <si>
    <t>N_QBI (It’s an aspirational brand) Now we would like your impressions of some INSTANT NOODLES brands, whether or not you have tried them yourself</t>
  </si>
  <si>
    <t>N_QBI (It’s a brand I would recommend to others) Now we would like your impressions of some INSTANT NOODLES brands, whether or not you have tried them yourself</t>
  </si>
  <si>
    <t>N_QBI (Provides convenient on-the-go meal options when I need) Now we would like your impressions of some INSTANT NOODLES brands, whether or not you have tried them yourself</t>
  </si>
  <si>
    <t>N_QBI (A brand that enables to achieve success) Now we would like your impressions of some INSTANT NOODLES brands, whether or not you have tried them yourself</t>
  </si>
  <si>
    <t>QBI Summary: Noodles</t>
  </si>
  <si>
    <t>Noodles - Brand Total Spont</t>
  </si>
  <si>
    <t>Noodles - Brand Total Awareness</t>
  </si>
  <si>
    <t>Noodles - Ad Total Spont</t>
  </si>
  <si>
    <t>Noodles - Ad Total Awareness</t>
  </si>
  <si>
    <t>N_FQ1. Which of the following flavors of Noodles will you consider buying in your next purchase?</t>
  </si>
  <si>
    <t>N_QFS1.  Have you seen this ad before?</t>
  </si>
  <si>
    <t>N_QFS2. What were the key message(s) from this activity?</t>
  </si>
  <si>
    <t>N_QFS3. How likely will this school sampling activity make you want to buy Indomie?</t>
  </si>
  <si>
    <t>N_QFSB1. Have you seen this ad before?</t>
  </si>
  <si>
    <t>N_QFSB2. What is the key message(s) you can get from this advert?</t>
  </si>
  <si>
    <t>N_QFSB3. How likely did this ad make you want to buy this brand Minimie?</t>
  </si>
  <si>
    <t>N_QFW1. Have you heard of this ad before</t>
  </si>
  <si>
    <t>N_QFW2. What is the key message(s) you can get from this advert?</t>
  </si>
  <si>
    <t>N_QFW3. How likely did this ad make you want to buy this brand Minimie?</t>
  </si>
  <si>
    <t>SK_BAU1A. When you think of Snacks, what brand comes to your mind first?</t>
  </si>
  <si>
    <t>SK_BAU1B. What other brands of Snacks can you think of?  Any other? Please mention as many brands as you can think?.</t>
  </si>
  <si>
    <t>SK_BAU1C. Which Snack brand first comes to your mind when you think of advertisements of brands of Bleach in the past 3 ROLL_MONTHs?</t>
  </si>
  <si>
    <t>SK_BAU1D. Which other brand of Snacks advertisement are you aware of?.</t>
  </si>
  <si>
    <t>SK_BAU2. Please take a look at this and tell me which brand of Snacks are you aware of?.</t>
  </si>
  <si>
    <t>SK_BAU3. Which other brands in this list do you remember having seen, read or heard any advertising or activities for recently</t>
  </si>
  <si>
    <t>SK_BAU4. And where have you seen or heard any advertisement/communication about Gala?.</t>
  </si>
  <si>
    <t>SK_BAU4. And where have you seen or heard any advertisement/communication about Minimie Chinchin?.</t>
  </si>
  <si>
    <t>SK_BAU4. And where have you seen or heard any advertisement/communication about Munch It?.</t>
  </si>
  <si>
    <t>SK_BAU4. And where have you seen or heard any advertisement/communication about Rite</t>
  </si>
  <si>
    <t>SK_BAU4. And where have you seen or heard any advertisement/communication about Bigi Snacks</t>
  </si>
  <si>
    <t>SK_BAU4. And where have you seen or heard any advertisement/communication about Mr Biggs</t>
  </si>
  <si>
    <t>SK_BAU4. And where have you seen or heard any advertisement/communication about Supreme</t>
  </si>
  <si>
    <t>SK_BAU4. And where have you seen or heard any advertisement/communication about Fan</t>
  </si>
  <si>
    <t>SK_BAU4. And where have you seen or heard any advertisement/communication about Others</t>
  </si>
  <si>
    <t>SK_BAU5A. Which of these Snack brands have you ever consumed</t>
  </si>
  <si>
    <t>SK_BAU6A. And which of these Snack brands have you consumed in the last 1 ROLL_MONTH</t>
  </si>
  <si>
    <t>SK_BAU6B. And which of these Snack brands have you consumed in the last 7 days</t>
  </si>
  <si>
    <t>SK_BAU6D. Please tell me the primary reason for consuming the Brand</t>
  </si>
  <si>
    <t>SK_BAU8. Which of these brands of Snack do you prefer the most?</t>
  </si>
  <si>
    <t>SK_BAU9. How often do you purchase snacks?</t>
  </si>
  <si>
    <t>SK_BAU10. What pack size of snacks do you buy most often?</t>
  </si>
  <si>
    <t>SK_QBI. (Is crunchy) Now we would like your impressions of some Snack brands, whether or not you have tried them yourself</t>
  </si>
  <si>
    <t>SK_QBI. (Is a fun brand) Now we would like your impressions of some Snack brands, whether or not you have tried them yourself</t>
  </si>
  <si>
    <t>SK_QBI. (It is for the youth) Now we would like your impressions of some Snack brands, whether or not you have tried them yourself</t>
  </si>
  <si>
    <t>SK_QBI. (Has advertising that I like) Now we would like your impressions of some Snack brands, whether or not you have tried them yourself</t>
  </si>
  <si>
    <t>SK_QBI. (Keeps my mouth busy/ Irresistible) Now we would like your impressions of some Snack brands, whether or not you have tried them yourself</t>
  </si>
  <si>
    <t>SK_QBI. (I love eating it while listening to music) Now we would like your impressions of some Snack brands, whether or not you have tried them yourself</t>
  </si>
  <si>
    <t>SK_QBI. (It is great to have it when watching movies / TV) Now we would like your impressions of some Snack brands, whether or not you have tried them yourself</t>
  </si>
  <si>
    <t>QBI Summary: Snacks</t>
  </si>
  <si>
    <t>SK_A1. Have you seen or heard anything about Minimie Chin-Chin “Worth Every Crunch” advert recently?</t>
  </si>
  <si>
    <t>SK_A2.  Where did you see or heard this advert</t>
  </si>
  <si>
    <t>SK_A3. In what language was the advert made?</t>
  </si>
  <si>
    <t>SK_A4.  What can you remember about the advert you saw? That is, what was the advert about</t>
  </si>
  <si>
    <t>SK_A5. Do you remember seeing this advert recently?</t>
  </si>
  <si>
    <t>SK_A6.  Where did you see this advert</t>
  </si>
  <si>
    <t>SK_A7.  What do you like about it</t>
  </si>
  <si>
    <t>Snacks - Brand Total Spont</t>
  </si>
  <si>
    <t>Snacks - Brand Total Awareness</t>
  </si>
  <si>
    <t>Snacks - Ad Total Spont</t>
  </si>
  <si>
    <t>Snacks - Ad Total Awareness</t>
  </si>
  <si>
    <t>TC_BAU1A. When you think of Toilet cleaners, what brand comes to your mind first?</t>
  </si>
  <si>
    <t>TC_BAU1B. What other brands of Toilet cleaners can you think of?  Any other? Please mention as many brands as you can think of</t>
  </si>
  <si>
    <t>TC_BAU1C. Which Toilet cleaner brand first comes to your mind when you think of advertisements of brands of Bleach in the past 3 ROLL_MONTHs?</t>
  </si>
  <si>
    <t>TC_BAU1D. Which other brand of Toilet cleaners advertisement   are you aware of?</t>
  </si>
  <si>
    <t>TC_BAU2. Please take a look at this and tell me which brand of Toilet cleaners are you aware of?</t>
  </si>
  <si>
    <t>TC_BAU3. Which other brands in this list do you remember having seen, read or heard any advertising or activities for recently</t>
  </si>
  <si>
    <t>TC_BAU4. And where have you seen or heard any advertisement/communication about Harpic Toilet Cleaner</t>
  </si>
  <si>
    <t>TC_BAU4. And where have you seen or heard any advertisement/communication about Hypo Toilet Cleaner</t>
  </si>
  <si>
    <t>TC_BAU4. And where have you seen or heard any advertisement/communication about Kleansol Toilet Cleaner</t>
  </si>
  <si>
    <t>TC_BAU4. And where have you seen or heard any advertisement/communication about Wind Toilet Cleaner</t>
  </si>
  <si>
    <t>TC_BAU4. And where have you seen or heard any advertisement/communication about Kleanmate Toilet Cleaner</t>
  </si>
  <si>
    <t>TC_BAU4. And where have you seen or heard any advertisement/communication about Mr Muscle</t>
  </si>
  <si>
    <t>TC_BAU4. And where have you seen or heard any advertisement/communication about Flow Toilet Cleaner</t>
  </si>
  <si>
    <t>TC_BAU4. And where have you seen or heard any advertisement/communication about Others</t>
  </si>
  <si>
    <t>TC_BAU5A. Which of these Toilet cleaner brands have you ever used</t>
  </si>
  <si>
    <t>TC_BAU5C. And which of these Toilet cleaner brands have you used in the last 3 ROLL_MONTHs</t>
  </si>
  <si>
    <t>TC_BAU6A. And which of these Toilet cleaner brands have you used in the last 1 ROLL_MONTH</t>
  </si>
  <si>
    <t>TC_BAU6B. And which of these Toilet cleaner brands have you used in the last 7 days</t>
  </si>
  <si>
    <t>TC_BAU6D. Please tell me the primary reason for consuming the Brand</t>
  </si>
  <si>
    <t>TC_BAU8. Which of these brands of Toilet cleaner do you prefer the most?</t>
  </si>
  <si>
    <t>TC_BAU9. How often do you purchase toilet cleaner?</t>
  </si>
  <si>
    <t>TC_BAU10. What pack size of toilet cleaner do you buy most often?</t>
  </si>
  <si>
    <t>TC_QBI. (Kills germs effectively) Now we would like your impressions of some Toilet cleaner brands, whether or not you have tried them yourself?.</t>
  </si>
  <si>
    <t>TC_QBI. (Gives me sparkling clean toilet) Now we would like your impressions of some Toilet cleaner brands, whether or not you have tried them yourself</t>
  </si>
  <si>
    <t>TC_QBI. (Is available in different fragrances) Now we would like your impressions of some Toilet cleaner brands, whether or not you have tried them yourself</t>
  </si>
  <si>
    <t>TC_QBI. (I must have in my home) Now we would like your impressions of some Toilet cleaner brands, whether or not you have tried them yourself</t>
  </si>
  <si>
    <t>TC_QBI. (Cleans toilet better than detergents and bleach) Now we would like your impressions of some Toilet cleaner brands, whether or not you have tried them yourself</t>
  </si>
  <si>
    <t>TC_QB1. Do you remember seeing this advert recently?</t>
  </si>
  <si>
    <t>TC_QB2. Where did you see this advert?</t>
  </si>
  <si>
    <t>TC_QB4. What was the main message of the ad you just saw?</t>
  </si>
  <si>
    <t>QBI Summary: Toilet Cleaner</t>
  </si>
  <si>
    <t>Toilet Cleaner - Brand Total Spont</t>
  </si>
  <si>
    <t>Toilet Cleaner - Brand Total Awareness</t>
  </si>
  <si>
    <t>Toilet Cleaner - Ad Total Spont</t>
  </si>
  <si>
    <t>Toilet Cleaner - Ad Total Awareness</t>
  </si>
  <si>
    <t>TP_BAU1A. When you think of Toothpaste, what brand comes to your mind first?</t>
  </si>
  <si>
    <t>TP_BAU1B. What other brands of Toothpastes can you think of? Please mention as many brands as you can think of:</t>
  </si>
  <si>
    <t>TP_BAU1C. Which Toothpastes brand first comes to your mind when you think of advertisements of brands of Toothpastes in the past 3 ROLL_MONTHs?</t>
  </si>
  <si>
    <t>TP_BAU1D. Which other brands come to mind when you think of advertisements of Toothpastes in the past 3 ROLL_MONTHs?</t>
  </si>
  <si>
    <t>TP_BAU2. Please tell me which brand of Toothpastes are you aware of?</t>
  </si>
  <si>
    <t>TP_BAU3. Which other brands in this list do you remember seeing or hearing advertising for recently?</t>
  </si>
  <si>
    <t>TP_BAU4. Where have you seen or heard any advertisement about Close Up?</t>
  </si>
  <si>
    <t>TP_BAU4. Where have you seen or heard any advertisement about Colgate?</t>
  </si>
  <si>
    <t>TP_BAU4. Where have you seen or heard any advertisement about Dabur?</t>
  </si>
  <si>
    <t>TP_BAU4. Where have you seen or heard any advertisement about Euthymol?</t>
  </si>
  <si>
    <t>TP_BAU4. Where have you seen or heard any advertisement about Macleans?</t>
  </si>
  <si>
    <t>TP_BAU4. Where have you seen or heard any advertisement about My My?</t>
  </si>
  <si>
    <t>TP_BAU4. Where have you seen or heard any advertisement about Oral-B?</t>
  </si>
  <si>
    <t>TP_BAU4. Where have you seen or heard any advertisement about Pepsodent?</t>
  </si>
  <si>
    <t>TP_BAU4. Where have you seen or heard any advertisement about Sensodyne?</t>
  </si>
  <si>
    <t>TP_BAU4. Where have you seen or heard any advertisement about Olive?</t>
  </si>
  <si>
    <t>TP_BAU4. Where have you seen or heard any advertisement about Oracare +?</t>
  </si>
  <si>
    <t>TP_BAU4. Where have you seen or heard any advertisement about Xtreme?</t>
  </si>
  <si>
    <t>TP_BAU4. Where have you seen or heard any advertisement about Others?</t>
  </si>
  <si>
    <t>TP_BAU5A. Which of these Toothpaste brands have you ever used?</t>
  </si>
  <si>
    <t>TP_BAU5C. Which of these Toothpaste brands have you ever used in the last 3 ROLL_MONTHs?</t>
  </si>
  <si>
    <t>TP_BAU6A. Which of these Toothpaste brands have you ever used in the last 1 ROLL_MONTH?</t>
  </si>
  <si>
    <t>TP_BAU6B. Which of these Toothpaste brands have you ever used in the last 7 days?</t>
  </si>
  <si>
    <t>TP_BAU6C. Which one brand of Toothpaste do you consume most often and would call your main brand?</t>
  </si>
  <si>
    <t>TP_BAU6D. Primary reasons for consuming your main Toothpaste brand?</t>
  </si>
  <si>
    <t>TP_BAU8. Which of these Toothpaste brands do you prefer the most?</t>
  </si>
  <si>
    <t>TP_BAU9. How often do you purchase Toothpaste?</t>
  </si>
  <si>
    <t>TP_BAU10. What Toothpaste pack size do you buy most often?</t>
  </si>
  <si>
    <t>TP_QBI. Gives fresh breath – Impressions of these Toothpaste brands?</t>
  </si>
  <si>
    <t>TP_QBI. Gives strong teeth – Impressions of these Toothpaste brands?</t>
  </si>
  <si>
    <t>TP_QBI. 24H Cavity Protection – Impressions of these Toothpaste brands?</t>
  </si>
  <si>
    <t>TP_QBI. Complete protection from all oral health problems – Impressions of these Toothpaste brands?</t>
  </si>
  <si>
    <t>TP_QBI. Recommended by dentists – Impressions of these Toothpaste brands?</t>
  </si>
  <si>
    <t>QBI Summary: ToothPaste</t>
  </si>
  <si>
    <t>TP_A1. Do you remember seeing this advert recently?</t>
  </si>
  <si>
    <t>TP_A2. How did you hear about this advert?</t>
  </si>
  <si>
    <t>TP_A3. What particularly did you like about this advertisement?</t>
  </si>
  <si>
    <t>TP_A4. What can you remember about the advert you saw? That is, what was the advert about?</t>
  </si>
  <si>
    <t>Toothpaste - Brand Total Spont</t>
  </si>
  <si>
    <t>Toothpaste - Brand Total Awareness</t>
  </si>
  <si>
    <t>Toothpaste - Ad Total Spont</t>
  </si>
  <si>
    <t>Toothpaste - Ad Total Awareness</t>
  </si>
  <si>
    <t>WH_BAU1B. What other brands of Hair Care Products can you think of?  Any other? Please mention as many brands as you can think of:</t>
  </si>
  <si>
    <t>WH_BAU4. And where have you seen or heard any advertisement/communication about PROFECTIV MEGA GROWTH</t>
  </si>
  <si>
    <t>WH_BAU4. And where have you seen or heard any advertisement/communication about ORS OLIVE OIL</t>
  </si>
  <si>
    <t>WH_BAU4. And where have you seen or heard any advertisement/communication about DARK AND LOVELY</t>
  </si>
  <si>
    <t>WH_BAU4. And where have you seen or heard any advertisement/communication about ELAN</t>
  </si>
  <si>
    <t>WH_BAU4. And where have you seen or heard any advertisement/communication about SUNNYPEACE (LAZINA)</t>
  </si>
  <si>
    <t>WH_BAU4. And where have you seen or heard any advertisement/communication about BEVA</t>
  </si>
  <si>
    <t>WH_BAU4. And where have you seen or heard any advertisement/communication about OZONE</t>
  </si>
  <si>
    <t>WH_BAU4. And where have you seen or heard any advertisement/communication about RELAX</t>
  </si>
  <si>
    <t>WH_BAU4. And where have you seen or heard any advertisement/communication about TCB</t>
  </si>
  <si>
    <t>WH_BAU4. And where have you seen or heard any advertisement/communication about EBONY</t>
  </si>
  <si>
    <t>WH_BAU4. And where have you seen or heard any advertisement/communication about LUSH</t>
  </si>
  <si>
    <t>WH_BAU4. And where have you seen or heard any advertisement/communication about TOPKLASS</t>
  </si>
  <si>
    <t>WH_BAU4. And where have you seen or heard any advertisement/communication about PETALS</t>
  </si>
  <si>
    <t>WH_BAU4. And where have you seen or heard any advertisement/communication about HAIR WONDER</t>
  </si>
  <si>
    <t>WH_BAU4. And where have you seen or heard any advertisement/communication about Others</t>
  </si>
  <si>
    <t>WH_BAU5A. Which of these Hair Care Product  brands have you ever used</t>
  </si>
  <si>
    <t>WH_BAU6A. And which of these Hair Care Product  brands have you used in the last 1 ROLL_MONTH</t>
  </si>
  <si>
    <t>WH_BAU6B. And which of these Hair Care Product  brands have you used in the last 7 days</t>
  </si>
  <si>
    <t>WH_BAU6D. Please tell me the primary reason for consuming the Brand</t>
  </si>
  <si>
    <t>WH_BAU8. Which of these brands of Hair Care Product  do you prefer the most?</t>
  </si>
  <si>
    <t>WH_BAU10. What pack size of Hair Care products do you buy most often?</t>
  </si>
  <si>
    <t>WH_QBI. (It doesn’t burn my hair) Now we would like your impressions of some Hair Care Product  brands, whether or not you have tried them yourself</t>
  </si>
  <si>
    <t>WH_QBI. (It doesn’t break my hair) Now we would like your impressions of some Hair Care Product  brands, whether or not you have tried them yourself</t>
  </si>
  <si>
    <t>WH_QBI. (It helps the heathly growth of my hair) Now we would like your impressions of some Hair Care Product  brands, whether or not you have tried them yourself</t>
  </si>
  <si>
    <t>WH_QBI. (It gives me a clean and refreshed scalp) Now we would like your impressions of some Hair Care Product  brands, whether or not you have tried them yourself</t>
  </si>
  <si>
    <t>WH_QBI. (It makes my hair soft) Now we would like your impressions of some Hair Care Product  brands, whether or not you have tried them yourself</t>
  </si>
  <si>
    <t>QBI Summary: Wet Hair</t>
  </si>
  <si>
    <t>Wet Hair - Brand Total Spont</t>
  </si>
  <si>
    <t>Wet Hair - Brand Total Awareness</t>
  </si>
  <si>
    <t>Wet Hair - Ad Total Spont</t>
  </si>
  <si>
    <t>Wet Hair - Ad Total Awareness</t>
  </si>
  <si>
    <t>Category Selection</t>
  </si>
  <si>
    <t>BHT TRACKER - FEBRUARY 2026 DAT ROLLING ANALYSIS</t>
  </si>
  <si>
    <t>Base</t>
  </si>
  <si>
    <t>Radio Button(N AND % Count)</t>
  </si>
  <si>
    <t>Noodles</t>
  </si>
  <si>
    <t>Toothpaste</t>
  </si>
  <si>
    <t>Breakfast Cereal</t>
  </si>
  <si>
    <t>Bleach</t>
  </si>
  <si>
    <t>Edible Oil</t>
  </si>
  <si>
    <t>Snacks</t>
  </si>
  <si>
    <t>Condiment Mixes</t>
  </si>
  <si>
    <t>Wet Hair</t>
  </si>
  <si>
    <t>Dry Hair</t>
  </si>
  <si>
    <t>Toilet Cleaner</t>
  </si>
  <si>
    <t>Table 1</t>
  </si>
  <si>
    <t>WH_BAU1A. When you think of Hair  Care Products, what brand comes to your mind first?</t>
  </si>
  <si>
    <t>Table 2</t>
  </si>
  <si>
    <t>Dropdown(Category Selection)</t>
  </si>
  <si>
    <t>Table 3</t>
  </si>
  <si>
    <t>WH_BAU1C. Which Hair Care Product  brand first comes to your mind when you think of advertisements of brands of Bleach in the past 3 ROLL_MONTHs?</t>
  </si>
  <si>
    <t>DH_BAU1C. Which Hair Extension brand first comes to your mind when you think of advertisements in the past 3 ROLL_MONTH?</t>
  </si>
  <si>
    <t>Table 4</t>
  </si>
  <si>
    <t>WH_BAU1D. Which other brand of Hair Care Products advertisement   are you aware of?</t>
  </si>
  <si>
    <t>Table 5</t>
  </si>
  <si>
    <t>WH_BAU2. Please take a look at this and tell me which brand of Hair Care Products are you aware of?</t>
  </si>
  <si>
    <t>Table 6</t>
  </si>
  <si>
    <t>WH_BAU3. Which other brands in this list do you remember having seen, read or heard any advertising or activities for recently?</t>
  </si>
  <si>
    <t>Table 7</t>
  </si>
  <si>
    <t>Table 8</t>
  </si>
  <si>
    <t>Table 9</t>
  </si>
  <si>
    <t>Table 10</t>
  </si>
  <si>
    <t>Table 11</t>
  </si>
  <si>
    <t>Table 12</t>
  </si>
  <si>
    <t>BL_BAU4. Where have you seen or heard any advertisement/communication about others</t>
  </si>
  <si>
    <t>Table 13</t>
  </si>
  <si>
    <t>Table 14</t>
  </si>
  <si>
    <t>Table 15</t>
  </si>
  <si>
    <t>Table 16</t>
  </si>
  <si>
    <t>Table 17</t>
  </si>
  <si>
    <t>SK_BAU5C. And which of these Snack brands have you consumed in the last 3 ROLL_MONTH?</t>
  </si>
  <si>
    <t>Table 18</t>
  </si>
  <si>
    <t>Table 19</t>
  </si>
  <si>
    <t>TC_BAU6C. Which one brand of Toilet cleaner do you consume most often and would call as your main brand?</t>
  </si>
  <si>
    <t>Table 20</t>
  </si>
  <si>
    <t>SK_BAU6C. Which one brand of Snack do you consume most often and would call as your main brand?</t>
  </si>
  <si>
    <t>DH_BAU5C. Which of these Hair Extension brands have you used in the last 3 ROLL_MONTH?</t>
  </si>
  <si>
    <t>Table 21</t>
  </si>
  <si>
    <t>Table 22</t>
  </si>
  <si>
    <t>Table 23</t>
  </si>
  <si>
    <t>Table 24</t>
  </si>
  <si>
    <t>WH_BAU5C. And which of these Hair Care Product  brands have you used in the last 3 ROLL_MONTH?</t>
  </si>
  <si>
    <t>Table 25</t>
  </si>
  <si>
    <t>Table 26</t>
  </si>
  <si>
    <t>DH_BAU9. How often do you purchase Hair Extension Products?</t>
  </si>
  <si>
    <t>Table 27</t>
  </si>
  <si>
    <t>WH_BAU6C. Which one brand of Hair Care Product  do you consume most often and would call as your main brand?</t>
  </si>
  <si>
    <t>DH_BAU10. What pack size of Hair Extension products do you buy most often?</t>
  </si>
  <si>
    <t>Table 28</t>
  </si>
  <si>
    <t>Table 29</t>
  </si>
  <si>
    <t>Table 30</t>
  </si>
  <si>
    <t>WH_BAU9A. What type of hair care products do you use frequently?</t>
  </si>
  <si>
    <t>Table 31</t>
  </si>
  <si>
    <t>WH_BAU9B. How often do you purchase Hair Care Care Products?</t>
  </si>
  <si>
    <t>Table 32</t>
  </si>
  <si>
    <t>Table 33</t>
  </si>
  <si>
    <t>Table 34</t>
  </si>
  <si>
    <t>Table 35</t>
  </si>
  <si>
    <t>Table 36</t>
  </si>
  <si>
    <t>Table 37</t>
  </si>
  <si>
    <t>Table 38</t>
  </si>
  <si>
    <t>Table 39</t>
  </si>
  <si>
    <t>Table 40</t>
  </si>
  <si>
    <t>Table 41</t>
  </si>
  <si>
    <t>Table 42</t>
  </si>
  <si>
    <t>Table 43</t>
  </si>
  <si>
    <t>Table 44</t>
  </si>
  <si>
    <t>Table 45</t>
  </si>
  <si>
    <t>Table 46</t>
  </si>
  <si>
    <t>Table 47</t>
  </si>
  <si>
    <t>Table 48</t>
  </si>
  <si>
    <t>Table 49</t>
  </si>
  <si>
    <t>Table 50</t>
  </si>
  <si>
    <t>Table 51</t>
  </si>
  <si>
    <t>Table 52</t>
  </si>
  <si>
    <t>Table 53</t>
  </si>
  <si>
    <t>Table 54</t>
  </si>
  <si>
    <t>Table 55</t>
  </si>
  <si>
    <t>Table 56</t>
  </si>
  <si>
    <t>Table 57</t>
  </si>
  <si>
    <t>Table 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</si>
</sst>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010205"/>
      <name val="Arial Bold"/>
      <family val="2"/>
    </font>
    <font>
      <b/>
      <sz val="11"/>
      <color theme="1"/>
      <name val="Aptos Narrow"/>
      <family val="2"/>
      <scheme val="minor"/>
    </font>
    <font>
      <sz val="8"/>
      <color rgb="FF000000"/>
      <name val="Segoe UI"/>
      <family val="2"/>
    </font>
    <font>
      <b/>
      <sz val="12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u/>
      <sz val="11"/>
      <color rgb="FF231CB0"/>
      <name val="Aptos Narrow"/>
      <family val="2"/>
      <scheme val="minor"/>
    </font>
    <font>
      <sz val="11"/>
      <color rgb="FF000000"/>
      <name val="Calibri"/>
      <family val="2"/>
    </font>
    <font>
      <sz val="11"/>
      <color rgb="FF010205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88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55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7" fillId="0" borderId="0" xfId="555" applyFont="1" applyBorder="1"/>
    <xf numFmtId="0" fontId="7" fillId="0" borderId="0" xfId="555" applyFont="1" applyFill="1" applyBorder="1" applyAlignment="1">
      <alignment horizontal="right"/>
    </xf>
    <xf numFmtId="0" fontId="6" fillId="0" borderId="0" xfId="555"/>
    <xf numFmtId="0" fontId="3" fillId="0" borderId="0" xfId="0" applyFont="1"/>
    <xf numFmtId="0" fontId="2" fillId="0" borderId="0" xfId="556" applyFont="1" applyAlignment="1">
      <alignment vertical="center"/>
    </xf>
    <xf numFmtId="0" fontId="2" fillId="0" borderId="0" xfId="557" applyFont="1" applyAlignment="1">
      <alignment vertical="center"/>
    </xf>
    <xf numFmtId="0" fontId="2" fillId="0" borderId="0" xfId="558" applyFont="1" applyAlignment="1">
      <alignment vertical="center"/>
    </xf>
    <xf numFmtId="0" fontId="2" fillId="0" borderId="0" xfId="559" applyFont="1" applyAlignment="1">
      <alignment vertical="center"/>
    </xf>
    <xf numFmtId="0" fontId="2" fillId="0" borderId="0" xfId="560" applyFont="1" applyAlignment="1">
      <alignment vertical="center"/>
    </xf>
    <xf numFmtId="0" fontId="2" fillId="0" borderId="0" xfId="561" applyFont="1" applyAlignment="1">
      <alignment vertical="center" wrapText="1"/>
    </xf>
    <xf numFmtId="0" fontId="2" fillId="0" borderId="0" xfId="562" applyFont="1" applyAlignment="1">
      <alignment vertical="center"/>
    </xf>
    <xf numFmtId="0" fontId="2" fillId="0" borderId="0" xfId="563" applyFont="1" applyAlignment="1">
      <alignment vertical="center" wrapText="1"/>
    </xf>
    <xf numFmtId="0" fontId="2" fillId="0" borderId="0" xfId="564" applyFont="1" applyAlignment="1">
      <alignment vertical="center"/>
    </xf>
    <xf numFmtId="0" fontId="2" fillId="0" borderId="0" xfId="565" applyFont="1" applyAlignment="1">
      <alignment vertical="center"/>
    </xf>
    <xf numFmtId="0" fontId="2" fillId="0" borderId="0" xfId="566" applyFont="1" applyAlignment="1">
      <alignment vertical="center"/>
    </xf>
    <xf numFmtId="0" fontId="2" fillId="2" borderId="0" xfId="567" applyFont="1" applyFill="1" applyAlignment="1">
      <alignment vertical="center"/>
    </xf>
    <xf numFmtId="0" fontId="2" fillId="0" borderId="0" xfId="568" applyFont="1" applyAlignment="1">
      <alignment vertical="center" wrapText="1"/>
    </xf>
    <xf numFmtId="0" fontId="2" fillId="0" borderId="0" xfId="569" applyFont="1" applyAlignment="1">
      <alignment vertical="center"/>
    </xf>
    <xf numFmtId="0" fontId="2" fillId="0" borderId="0" xfId="570" applyFont="1" applyAlignment="1">
      <alignment vertical="center"/>
    </xf>
    <xf numFmtId="0" fontId="9" fillId="0" borderId="0" xfId="571" applyFont="1" applyAlignment="1">
      <alignment vertical="center" wrapText="1"/>
    </xf>
    <xf numFmtId="0" fontId="2" fillId="0" borderId="0" xfId="567" applyFont="1" applyAlignment="1">
      <alignment vertical="center"/>
    </xf>
    <xf numFmtId="0" fontId="2" fillId="0" borderId="0" xfId="572" applyFont="1" applyAlignment="1">
      <alignment vertical="center" wrapText="1"/>
    </xf>
    <xf numFmtId="0" fontId="2" fillId="0" borderId="0" xfId="573" applyFont="1" applyAlignment="1">
      <alignment vertical="center" wrapText="1"/>
    </xf>
    <xf numFmtId="0" fontId="9" fillId="0" borderId="0" xfId="574" applyFont="1" applyAlignment="1">
      <alignment vertical="center" wrapText="1"/>
    </xf>
    <xf numFmtId="0" fontId="2" fillId="0" borderId="0" xfId="575" applyFont="1" applyAlignment="1">
      <alignment vertical="center" wrapText="1"/>
    </xf>
    <xf numFmtId="0" fontId="9" fillId="0" borderId="0" xfId="576" applyFont="1" applyAlignment="1">
      <alignment vertical="center" wrapText="1"/>
    </xf>
    <xf numFmtId="0" fontId="9" fillId="0" borderId="0" xfId="577" applyFont="1" applyAlignment="1">
      <alignment vertical="center" wrapText="1"/>
    </xf>
    <xf numFmtId="0" fontId="9" fillId="0" borderId="0" xfId="578" applyFont="1" applyAlignment="1">
      <alignment vertical="center" wrapText="1"/>
    </xf>
    <xf numFmtId="0" fontId="1" fillId="0" borderId="0" xfId="0" applyFont="1" applyAlignment="1">
      <alignment horizontal="left"/>
    </xf>
    <xf numFmtId="0" fontId="9" fillId="0" borderId="0" xfId="579" applyFont="1" applyAlignment="1">
      <alignment vertical="center" wrapText="1"/>
    </xf>
    <xf numFmtId="0" fontId="2" fillId="0" borderId="0" xfId="561" applyFont="1" applyAlignment="1">
      <alignment vertical="center"/>
    </xf>
    <xf numFmtId="0" fontId="2" fillId="0" borderId="0" xfId="580" applyFont="1" applyAlignment="1">
      <alignment vertical="center"/>
    </xf>
    <xf numFmtId="0" fontId="1" fillId="0" borderId="0" xfId="0" applyFont="1"/>
    <xf numFmtId="0" fontId="9" fillId="0" borderId="0" xfId="581" applyFont="1" applyAlignment="1">
      <alignment vertical="center" wrapText="1"/>
    </xf>
    <xf numFmtId="0" fontId="9" fillId="0" borderId="0" xfId="582" applyFont="1" applyAlignment="1">
      <alignment vertical="center" wrapText="1"/>
    </xf>
    <xf numFmtId="0" fontId="9" fillId="0" borderId="0" xfId="583" applyFont="1" applyAlignment="1">
      <alignment vertical="center" wrapText="1"/>
    </xf>
    <xf numFmtId="0" fontId="9" fillId="0" borderId="0" xfId="584" applyFont="1" applyAlignment="1">
      <alignment vertical="center" wrapText="1"/>
    </xf>
    <xf numFmtId="0" fontId="9" fillId="0" borderId="0" xfId="585" applyFont="1" applyAlignment="1">
      <alignment vertical="center" wrapText="1"/>
    </xf>
    <xf numFmtId="0" fontId="2" fillId="0" borderId="0" xfId="586" applyFont="1" applyAlignment="1">
      <alignment vertical="center" wrapText="1"/>
    </xf>
    <xf numFmtId="0" fontId="9" fillId="0" borderId="0" xfId="582" applyFont="1" applyAlignment="1">
      <alignment vertical="center"/>
    </xf>
    <xf numFmtId="0" fontId="2" fillId="0" borderId="0" xfId="586" applyFont="1" applyAlignment="1">
      <alignment vertical="center"/>
    </xf>
    <xf numFmtId="0" fontId="2" fillId="0" borderId="0" xfId="587" applyFont="1" applyAlignment="1">
      <alignment vertical="center" wrapText="1"/>
    </xf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2" fillId="0" borderId="0" xfId="580" applyFont="1" applyAlignment="1">
      <alignment horizontal="left" vertical="center" wrapText="1"/>
    </xf>
    <xf numFmtId="0" fontId="2" fillId="0" borderId="0" xfId="556" applyFont="1" applyAlignment="1">
      <alignment horizontal="left" vertical="center" wrapText="1"/>
    </xf>
    <xf numFmtId="0" fontId="2" fillId="0" borderId="0" xfId="557" applyFont="1" applyAlignment="1">
      <alignment horizontal="left" vertical="center" wrapText="1"/>
    </xf>
  </cellXfs>
  <cellStyles count="588">
    <cellStyle name="Hyperlink" xfId="555" builtinId="8"/>
    <cellStyle name="Normal" xfId="0" builtinId="0"/>
    <cellStyle name="style1749632946579" xfId="571" xr:uid="{E2D25E9D-6663-43AE-BB28-0DCFAB44889C}"/>
    <cellStyle name="style1749632946587" xfId="574" xr:uid="{C1E98E6D-8980-4B1C-8883-850EA86DF5C0}"/>
    <cellStyle name="style1749632988273" xfId="584" xr:uid="{21D1C621-80A9-4232-9840-40C582F92AD9}"/>
    <cellStyle name="style1749632988294" xfId="585" xr:uid="{3B81D27C-5C36-45B2-B944-04777191BA49}"/>
    <cellStyle name="style1749632996620" xfId="577" xr:uid="{B13DA37C-B342-4082-AED2-FDFCB0BE3827}"/>
    <cellStyle name="style1749632996636" xfId="578" xr:uid="{ED50A2B5-CC1F-4242-9851-6082906FB8B0}"/>
    <cellStyle name="style1749633459736" xfId="586" xr:uid="{C8A679BB-3A6A-4E6E-977A-958D3B26EFF4}"/>
    <cellStyle name="style1749633459758" xfId="587" xr:uid="{8E09E922-63F4-498B-A30C-9493E2E30C57}"/>
    <cellStyle name="style1749633469206" xfId="582" xr:uid="{D99D9FF0-2288-4E4B-9504-5A3FF4D6283C}"/>
    <cellStyle name="style1749633469227" xfId="583" xr:uid="{8DF43682-588E-4AA6-9FA4-3A098FF0223B}"/>
    <cellStyle name="style1749633479023" xfId="568" xr:uid="{3B615A58-ABB5-46F8-AD87-61C1609A66C3}"/>
    <cellStyle name="style1749633479055" xfId="573" xr:uid="{A91486EA-5584-4323-B4DC-F314E94D3C76}"/>
    <cellStyle name="style1749633499286" xfId="581" xr:uid="{A2DBE7E3-EDA3-4EA9-85A0-5AB0778F386F}"/>
    <cellStyle name="style1749633523363" xfId="579" xr:uid="{77AF10AC-80F3-424E-BABE-DA140E3AFA14}"/>
    <cellStyle name="style1749633523379" xfId="576" xr:uid="{9410ABE0-B4EB-4D30-A899-BCFD00342113}"/>
    <cellStyle name="style1750796869936" xfId="563" xr:uid="{D97F1A6E-37F2-4CBD-804E-A72777C05B61}"/>
    <cellStyle name="style1750796869959" xfId="572" xr:uid="{1DDBECE8-93D3-4F1C-94C9-78D335FA3CCF}"/>
    <cellStyle name="style1750796918052" xfId="561" xr:uid="{AE83FFCF-9F0B-446F-9E17-C95BB3506A3F}"/>
    <cellStyle name="style1750796918071" xfId="575" xr:uid="{E40EF1AC-5900-4B88-A781-098599BC4720}"/>
    <cellStyle name="style1752730405132" xfId="570" xr:uid="{33B34E58-41D4-43A8-BC52-FF9B2A9FB70B}"/>
    <cellStyle name="style1752734993892" xfId="565" xr:uid="{FE38B4C0-3C72-4B2E-BF7F-20D3DA470BC6}"/>
    <cellStyle name="style1752741554653" xfId="567" xr:uid="{15222975-5BDF-4E2D-83C2-93C20279B2F5}"/>
    <cellStyle name="style1752905822712" xfId="559" xr:uid="{D48A61C3-E652-4C0A-B619-F35BA92E4FC6}"/>
    <cellStyle name="style1752907557131" xfId="558" xr:uid="{E782A6D7-6C35-42B7-ACB3-B5A3F66298B2}"/>
    <cellStyle name="style1752907631814" xfId="564" xr:uid="{E0FFFCC6-F222-4996-A384-4E866B14A121}"/>
    <cellStyle name="style1752907668312" xfId="562" xr:uid="{99F54E5B-68E4-4EA1-B64D-D8394797B0AA}"/>
    <cellStyle name="style1752907825830" xfId="560" xr:uid="{875B5C0B-0C81-4FF5-815F-04F9AD99A5C7}"/>
    <cellStyle name="style1752907876739" xfId="566" xr:uid="{308EA80C-E9CA-4B89-B560-75E0AC2653A7}"/>
    <cellStyle name="style1752907972681" xfId="569" xr:uid="{F97D2790-08E5-432F-AB44-B6998200480A}"/>
    <cellStyle name="style1753357463442" xfId="556" xr:uid="{524CFF47-3D33-4687-99E1-807DF09CCBCD}"/>
    <cellStyle name="style1753357463474" xfId="557" xr:uid="{76347F82-0307-4A81-B864-5C59034E73FC}"/>
    <cellStyle name="style1753357463490" xfId="580" xr:uid="{0A4F2F01-B861-4071-B9A3-83A5BC5F7F16}"/>
    <cellStyle name="style1775244399493" xfId="276" xr:uid="{C9564289-C876-47EA-9E83-4C5BF5774757}"/>
    <cellStyle name="style1775244399671" xfId="277" xr:uid="{CA663C09-FBD6-4EBE-9681-CF76CA949A73}"/>
    <cellStyle name="style1775244399767" xfId="275" xr:uid="{972F39F2-0231-475E-8ED2-6DA22779AF2F}"/>
    <cellStyle name="style1775244399866" xfId="278" xr:uid="{4B73CD85-C81E-4783-8BD1-FC13F300B0C8}"/>
    <cellStyle name="style1775244399956" xfId="279" xr:uid="{37E0855A-B772-44A2-8359-8B7C552AB1F0}"/>
    <cellStyle name="style1775244400112" xfId="280" xr:uid="{3DC337FD-0B2D-472C-9C59-9E2C78BEED37}"/>
    <cellStyle name="style1775244400232" xfId="281" xr:uid="{315E2414-1EA6-49DB-B9A9-074EDF28DDD6}"/>
    <cellStyle name="style1775244400363" xfId="282" xr:uid="{473B8F22-0133-49FA-9AF1-68C70B2BE9AC}"/>
    <cellStyle name="style1775244400562" xfId="283" xr:uid="{2A85478A-A10F-4EC8-BF8D-F9CC7420A625}"/>
    <cellStyle name="style1775244400758" xfId="284" xr:uid="{87E07189-387A-4EDC-AD26-9AFE4A16D6FD}"/>
    <cellStyle name="style1775244400896" xfId="285" xr:uid="{FED183E3-ED56-43CA-ABF1-D7A585635FD0}"/>
    <cellStyle name="style1775244401081" xfId="286" xr:uid="{83914DD4-A048-4B3C-ABB7-C2FE854A0472}"/>
    <cellStyle name="style1775244401167" xfId="287" xr:uid="{DF8BBAC5-E62D-4A37-BB7B-172340B8B904}"/>
    <cellStyle name="style1775244401261" xfId="292" xr:uid="{53F3AE3F-75D7-4F30-AE35-E520332C435F}"/>
    <cellStyle name="style1775244401340" xfId="297" xr:uid="{B02C39C0-53FA-4F9D-85B1-5355D02BF5C1}"/>
    <cellStyle name="style1775244401416" xfId="288" xr:uid="{9BEEF606-89CE-4B77-8A94-92647B6AB4F4}"/>
    <cellStyle name="style1775244401493" xfId="293" xr:uid="{E3EFBDCE-0142-42FF-9E2F-228B7B4E82EF}"/>
    <cellStyle name="style1775244401562" xfId="298" xr:uid="{506DA6FC-97EC-433D-AD11-9F6D4BDADCBB}"/>
    <cellStyle name="style1775244401658" xfId="289" xr:uid="{F866A773-E5B9-4A78-BDD5-0752A17CD921}"/>
    <cellStyle name="style1775244401752" xfId="290" xr:uid="{ADEA4891-7C1B-4E5D-9F25-0B5EC2A0400A}"/>
    <cellStyle name="style1775244401881" xfId="291" xr:uid="{FB6933B7-B3B8-4757-AC88-583AFF5E4137}"/>
    <cellStyle name="style1775244401975" xfId="294" xr:uid="{568443F2-4753-44E2-8F08-B4BB53765083}"/>
    <cellStyle name="style1775244402054" xfId="295" xr:uid="{B0391F92-34B8-4534-9F10-3B762E31677C}"/>
    <cellStyle name="style1775244402162" xfId="296" xr:uid="{5CCC11B2-FB12-401C-9AA4-F463A4B7B6FF}"/>
    <cellStyle name="style1775244402758" xfId="299" xr:uid="{C4EB81FD-E7FF-4394-923F-911FEA80F377}"/>
    <cellStyle name="style1775244402835" xfId="300" xr:uid="{CC54F6D2-D7F7-4841-A486-411205828FD7}"/>
    <cellStyle name="style1775244402914" xfId="301" xr:uid="{6339F90F-D3A8-41C7-A1E4-407105B970C9}"/>
    <cellStyle name="style1775244430037" xfId="302" xr:uid="{F08AEA45-7CC4-4360-9EAF-33364F48552F}"/>
    <cellStyle name="style1775245663389" xfId="444" xr:uid="{54E579D7-9991-47D5-B54E-A408043FE033}"/>
    <cellStyle name="style1775245663503" xfId="445" xr:uid="{F0358466-9F3B-4708-9058-E0943C0D9C0C}"/>
    <cellStyle name="style1775245663611" xfId="443" xr:uid="{15934292-EC2A-4437-A8B2-56F2D4616AF0}"/>
    <cellStyle name="style1775245663719" xfId="446" xr:uid="{17285661-B715-4786-8D9E-96BE7A277453}"/>
    <cellStyle name="style1775245663840" xfId="447" xr:uid="{B3ECE37F-A330-4B62-86BC-94E1C84D8C55}"/>
    <cellStyle name="style1775245663965" xfId="448" xr:uid="{6BF52AEE-5EA4-458C-9285-68F689B6EE8B}"/>
    <cellStyle name="style1775245664093" xfId="449" xr:uid="{DC13A520-67C1-4AB6-AD7C-AA03E77A02B0}"/>
    <cellStyle name="style1775245664242" xfId="450" xr:uid="{7E9ADDDB-39EA-48BE-80D7-CFBA48D78D9F}"/>
    <cellStyle name="style1775245664403" xfId="451" xr:uid="{21BE12CB-EEA8-4AA6-9C5C-B2EA3D4989F8}"/>
    <cellStyle name="style1775245664531" xfId="452" xr:uid="{76B0551A-DC03-4126-9BD3-C3784175D544}"/>
    <cellStyle name="style1775245664605" xfId="453" xr:uid="{52F6A2F9-9893-460D-B24B-0B0B03DE97EF}"/>
    <cellStyle name="style1775245664713" xfId="454" xr:uid="{8E2136E6-AF41-4CD0-92CD-2C066E7A8E3D}"/>
    <cellStyle name="style1775245664788" xfId="455" xr:uid="{45356467-CF8B-4AC8-A993-3F92B0EABCE7}"/>
    <cellStyle name="style1775245664876" xfId="460" xr:uid="{4F3E053D-F1CF-4EEB-9391-F6D9923D6C23}"/>
    <cellStyle name="style1775245664959" xfId="465" xr:uid="{69A84663-6E3B-46A4-ABB8-620F34685FBD}"/>
    <cellStyle name="style1775245665038" xfId="456" xr:uid="{90764169-C9E5-4BDC-8EF9-C7C8E30C3482}"/>
    <cellStyle name="style1775245665116" xfId="461" xr:uid="{3B5FAB01-C522-426D-9013-8FC8B655707D}"/>
    <cellStyle name="style1775245665200" xfId="466" xr:uid="{5489C0E0-147C-461F-BB73-B664DEACFCF5}"/>
    <cellStyle name="style1775245665282" xfId="457" xr:uid="{95A4BF20-3D01-4157-9801-44F2E16409BE}"/>
    <cellStyle name="style1775245665371" xfId="458" xr:uid="{DAB9D28F-3DFB-4F17-83F3-E84113FC1FAD}"/>
    <cellStyle name="style1775245665470" xfId="459" xr:uid="{714DE4A6-A87F-473C-BC1A-60D7E5B54064}"/>
    <cellStyle name="style1775245665552" xfId="462" xr:uid="{295E409F-C143-445F-8E5D-F1CAD6F3C7DD}"/>
    <cellStyle name="style1775245665626" xfId="463" xr:uid="{F8ABA8D4-1ECF-41E2-8DD3-65F4E50362B6}"/>
    <cellStyle name="style1775245665711" xfId="464" xr:uid="{D30C7A54-789D-434B-80D3-C7199E72CA98}"/>
    <cellStyle name="style1775245666135" xfId="467" xr:uid="{B0A85F17-D4A2-42B2-87E8-199273BBAB64}"/>
    <cellStyle name="style1775245666213" xfId="468" xr:uid="{81968095-AF78-47D2-AB9F-078ACF5C4CB2}"/>
    <cellStyle name="style1775245666302" xfId="469" xr:uid="{560C122E-4A79-4B84-8408-B429137A22D6}"/>
    <cellStyle name="style1775245689485" xfId="470" xr:uid="{CCF6E8E5-690A-4465-97BF-050DAE9E3D3A}"/>
    <cellStyle name="style1775246553223" xfId="222" xr:uid="{DDE0006C-DB50-49F4-8E43-DD310A690D7F}"/>
    <cellStyle name="style1775246553286" xfId="223" xr:uid="{B7C7F1B0-2D65-42F0-9D17-02C58A8B0027}"/>
    <cellStyle name="style1775246553350" xfId="221" xr:uid="{2FF1CDF4-FF2C-46EF-AC03-C7B6DC427584}"/>
    <cellStyle name="style1775246553394" xfId="224" xr:uid="{15DCC034-8095-421B-ADA8-99BB6E6B9E49}"/>
    <cellStyle name="style1775246553446" xfId="225" xr:uid="{4F9B088F-EB22-4EA8-9BBD-C5DFDC5BA590}"/>
    <cellStyle name="style1775246553532" xfId="226" xr:uid="{B325CEA2-1160-4720-971D-55ED4918C8E3}"/>
    <cellStyle name="style1775246553573" xfId="227" xr:uid="{25217C07-BFF6-44DD-801C-F1E6E1284AE1}"/>
    <cellStyle name="style1775246553640" xfId="228" xr:uid="{9FF1583C-9EFB-4FB9-8990-D4D8A2B8C7CF}"/>
    <cellStyle name="style1775246553684" xfId="229" xr:uid="{E91B4D24-BAAC-4973-A28A-E13559C344A1}"/>
    <cellStyle name="style1775246553891" xfId="230" xr:uid="{D07C659F-DE09-49D3-BAC8-B3B110B3DF0B}"/>
    <cellStyle name="style1775246553940" xfId="231" xr:uid="{470FBEF5-4EC7-4CD2-B6A4-347EEF689385}"/>
    <cellStyle name="style1775246554019" xfId="232" xr:uid="{D1788AFA-EF51-42CC-B74C-00533007D99B}"/>
    <cellStyle name="style1775246554081" xfId="233" xr:uid="{941D3E75-9E29-4CB3-AC16-00F64DCB0EB2}"/>
    <cellStyle name="style1775246554130" xfId="238" xr:uid="{A663CD90-1E04-4631-99FD-586770060AE7}"/>
    <cellStyle name="style1775246554187" xfId="243" xr:uid="{A39A6ADC-4F1F-4C0C-832A-585BC83E08D7}"/>
    <cellStyle name="style1775246554233" xfId="234" xr:uid="{FE28A357-E472-410C-85E2-A8B39F36E67C}"/>
    <cellStyle name="style1775246554273" xfId="239" xr:uid="{8F14EDAB-7D7D-4606-8597-D0F379A597C7}"/>
    <cellStyle name="style1775246554342" xfId="244" xr:uid="{3B29A999-0A12-4350-963B-835D7B92685E}"/>
    <cellStyle name="style1775246554385" xfId="235" xr:uid="{A1B4D892-941A-46FB-80D0-781C032BDEED}"/>
    <cellStyle name="style1775246554442" xfId="236" xr:uid="{249457E2-432D-4D4B-9C06-2DA7CC57587B}"/>
    <cellStyle name="style1775246554481" xfId="237" xr:uid="{883F36F7-F702-4373-8EC4-8835B5B3E0C0}"/>
    <cellStyle name="style1775246554529" xfId="240" xr:uid="{C1212D9E-90C6-457C-A85D-825BFE0FE229}"/>
    <cellStyle name="style1775246554589" xfId="241" xr:uid="{E0356518-FA51-4322-9653-2DAC4992D927}"/>
    <cellStyle name="style1775246554664" xfId="242" xr:uid="{6EA87998-E6DC-47DB-8D27-2FA782DAE7B1}"/>
    <cellStyle name="style1775246555103" xfId="245" xr:uid="{7B9CA1DA-A705-4ED9-B8A6-019CE977399A}"/>
    <cellStyle name="style1775246555198" xfId="246" xr:uid="{2685B4BD-9DBA-4DCC-A5EA-5C45D7AE2881}"/>
    <cellStyle name="style1775246555294" xfId="247" xr:uid="{70C490B2-21C8-4203-AC48-0EAE48A5A10D}"/>
    <cellStyle name="style1775247383345" xfId="58" xr:uid="{2D917B92-B5F2-4D1E-B90C-68CB573ABCE6}"/>
    <cellStyle name="style1775247383392" xfId="59" xr:uid="{21EAB2BC-257C-41B9-9177-CB512C1B515D}"/>
    <cellStyle name="style1775247383424" xfId="57" xr:uid="{9C938515-809E-40A7-9FC7-292F9C110C69}"/>
    <cellStyle name="style1775247383471" xfId="60" xr:uid="{13AEEC25-F23A-4BD6-BEFD-EFB2DF3DB7CA}"/>
    <cellStyle name="style1775247383519" xfId="61" xr:uid="{B2550E38-3F30-4E03-BDBC-027DDC83B5AB}"/>
    <cellStyle name="style1775247383571" xfId="62" xr:uid="{7EA11D27-EFB8-43EE-B711-52C825479DAE}"/>
    <cellStyle name="style1775247383630" xfId="63" xr:uid="{D9466D25-F823-447D-AB32-466DDF4942F2}"/>
    <cellStyle name="style1775247383693" xfId="64" xr:uid="{8A20A33A-A8DE-43E0-A109-8AAE73A2CA27}"/>
    <cellStyle name="style1775247383757" xfId="65" xr:uid="{50EAF14A-56E1-495A-965E-CEDCB957DAE8}"/>
    <cellStyle name="style1775247383873" xfId="66" xr:uid="{0535EC9D-52AB-4FC2-94CA-909398659B5C}"/>
    <cellStyle name="style1775247383947" xfId="67" xr:uid="{E226F1F8-19FF-4368-9DA6-30468F7CCE5B}"/>
    <cellStyle name="style1775247384011" xfId="68" xr:uid="{51F78E35-87C2-47DD-9933-80A5046AD485}"/>
    <cellStyle name="style1775247384074" xfId="69" xr:uid="{42535A34-9844-43EF-889A-3BC7BD957D39}"/>
    <cellStyle name="style1775247384154" xfId="74" xr:uid="{6A77C672-9246-496B-9469-6C6EA07DA4BA}"/>
    <cellStyle name="style1775247384217" xfId="79" xr:uid="{EE4C9F7F-E00F-4160-8761-870EE7B9F4DA}"/>
    <cellStyle name="style1775247384265" xfId="70" xr:uid="{4547833B-9DCE-43F5-A248-265DDB04E836}"/>
    <cellStyle name="style1775247384297" xfId="75" xr:uid="{3A1811F9-D0EB-4AF9-B356-1639C173FDA7}"/>
    <cellStyle name="style1775247384344" xfId="80" xr:uid="{E38259B1-2792-4E7C-8D26-06BC4CA3605B}"/>
    <cellStyle name="style1775247384424" xfId="71" xr:uid="{983554EC-A360-4FB0-A3AE-204075D9DE97}"/>
    <cellStyle name="style1775247384487" xfId="72" xr:uid="{30FAC74F-67D3-44B8-8E06-F19B2DD1C7B6}"/>
    <cellStyle name="style1775247384567" xfId="73" xr:uid="{2D13B894-95F4-480D-AD97-04F315B4D306}"/>
    <cellStyle name="style1775247384630" xfId="76" xr:uid="{2303FE4F-68CC-462D-8259-44D21012B12E}"/>
    <cellStyle name="style1775247384678" xfId="77" xr:uid="{AC74B684-F5F9-450F-9F37-A005B28E8BF9}"/>
    <cellStyle name="style1775247384775" xfId="78" xr:uid="{D430ADCD-0153-4270-9446-515BE3E3A84D}"/>
    <cellStyle name="style1775247384949" xfId="81" xr:uid="{1BAE71A7-1A2A-4826-BC8D-3907BAD0AABF}"/>
    <cellStyle name="style1775247384997" xfId="82" xr:uid="{83C26DCB-7ACB-4352-9B32-9E6B6780D8F2}"/>
    <cellStyle name="style1775247385045" xfId="83" xr:uid="{7187BC0A-62E4-48D3-B346-F21C91E4EE39}"/>
    <cellStyle name="style1775248379968" xfId="2" xr:uid="{6DBE0994-F6B5-4EB9-98A8-29A7E4CD3698}"/>
    <cellStyle name="style1775248379993" xfId="3" xr:uid="{6181D521-6344-426F-B400-3538227CC650}"/>
    <cellStyle name="style1775248380016" xfId="1" xr:uid="{6BFC30E9-D97A-4A9C-AFCC-1DFB5DB99796}"/>
    <cellStyle name="style1775248380032" xfId="4" xr:uid="{B9977D02-C4FE-4D5C-B39A-248A0031A2F0}"/>
    <cellStyle name="style1775248380063" xfId="5" xr:uid="{FA635120-A2F9-4629-A1EF-80BEF57EF91F}"/>
    <cellStyle name="style1775248380095" xfId="6" xr:uid="{19A89920-8CC2-4001-B99A-2643FC35B5E3}"/>
    <cellStyle name="style1775248380111" xfId="7" xr:uid="{FB2255EE-30AF-46D2-B574-194B043E7CB3}"/>
    <cellStyle name="style1775248380143" xfId="8" xr:uid="{D8DE3115-3714-430C-860E-81E91D768EFF}"/>
    <cellStyle name="style1775248380158" xfId="9" xr:uid="{A6BCE16D-5818-4CB6-B651-3810D909DC7D}"/>
    <cellStyle name="style1775248380206" xfId="10" xr:uid="{015A7D16-205E-4A83-AC39-B530A85CE782}"/>
    <cellStyle name="style1775248380222" xfId="11" xr:uid="{200BF138-6E2C-430C-AE9D-A51899BED525}"/>
    <cellStyle name="style1775248380253" xfId="12" xr:uid="{718E1B8C-20EF-470A-8A8B-EE5FA006DF95}"/>
    <cellStyle name="style1775248380269" xfId="13" xr:uid="{B98A876E-E47D-48E5-9F31-4845D7E0131E}"/>
    <cellStyle name="style1775248380301" xfId="18" xr:uid="{0C17E34C-94B5-4465-AA96-F1E0080F7959}"/>
    <cellStyle name="style1775248380316" xfId="23" xr:uid="{3785F354-8C11-4CD1-A23C-29F56F12566A}"/>
    <cellStyle name="style1775248380348" xfId="14" xr:uid="{698478A7-33A3-402E-B726-14973B5B79D3}"/>
    <cellStyle name="style1775248380363" xfId="19" xr:uid="{9BA28859-A881-45D8-99BE-5BB2FD516E65}"/>
    <cellStyle name="style1775248380394" xfId="24" xr:uid="{45430E9F-D1A4-4D1E-9D2C-F188D12829FA}"/>
    <cellStyle name="style1775248380410" xfId="15" xr:uid="{C545A9EE-9D91-4429-9002-68FCDAA6F6AD}"/>
    <cellStyle name="style1775248380442" xfId="16" xr:uid="{D78AA59D-5653-4BE5-9445-366B7A195377}"/>
    <cellStyle name="style1775248380458" xfId="17" xr:uid="{F7DDFDFE-D1E6-4960-A0FD-9246BD5B67D2}"/>
    <cellStyle name="style1775248380489" xfId="20" xr:uid="{5535F9EA-4025-4E0A-BFC8-62B893683A49}"/>
    <cellStyle name="style1775248380505" xfId="21" xr:uid="{E370D994-DF7C-46E4-91ED-1E6F34B29513}"/>
    <cellStyle name="style1775248380537" xfId="22" xr:uid="{1353D7C3-DD2B-4CA9-B196-AED33E7321BE}"/>
    <cellStyle name="style1775248380795" xfId="25" xr:uid="{2A40E0DA-C1E4-4900-B738-90E7A33E7D6D}"/>
    <cellStyle name="style1775248380823" xfId="26" xr:uid="{9FA34407-73B9-4796-BFED-A3E656CB2759}"/>
    <cellStyle name="style1775248380839" xfId="27" xr:uid="{867A8CD5-8C2E-42E1-87A0-1FC9D18D3BF6}"/>
    <cellStyle name="style1775248397393" xfId="28" xr:uid="{F37AEE42-3361-41C1-889B-FF51DC9103AF}"/>
    <cellStyle name="style1775248929076" xfId="388" xr:uid="{3FE4E480-1553-4CBD-922F-DB58DCD9B1A5}"/>
    <cellStyle name="style1775248929124" xfId="389" xr:uid="{95D2527E-5739-40EF-8177-F4A2CD3A0EB0}"/>
    <cellStyle name="style1775248929140" xfId="387" xr:uid="{1334EDD6-40C2-4721-8901-75ADAE76F92D}"/>
    <cellStyle name="style1775248929171" xfId="390" xr:uid="{9D3AD265-2DEC-4007-B534-D9F68DF5AD7B}"/>
    <cellStyle name="style1775248929187" xfId="391" xr:uid="{80CFC7EC-D2A3-4A0C-95E0-AB70AA9750B8}"/>
    <cellStyle name="style1775248929218" xfId="392" xr:uid="{297DCE08-47E3-4B33-A2D6-67C684562E51}"/>
    <cellStyle name="style1775248929284" xfId="393" xr:uid="{778D909D-9FDE-4A27-9B24-F1FA890326D3}"/>
    <cellStyle name="style1775248929330" xfId="394" xr:uid="{E9BF5C38-BBFF-41ED-85CA-117F83DFA52A}"/>
    <cellStyle name="style1775248929409" xfId="395" xr:uid="{1008DC7C-55EE-40B5-9D2F-5782F6A087CD}"/>
    <cellStyle name="style1775248929505" xfId="396" xr:uid="{D0878D72-C2F4-481D-9C9E-513DE6A8D4A1}"/>
    <cellStyle name="style1775248929577" xfId="397" xr:uid="{E373C3D6-E892-4EDC-89E8-D3F1675031CC}"/>
    <cellStyle name="style1775248929663" xfId="398" xr:uid="{AFBF6E3E-5D97-4999-A619-6F3E38CA7B1B}"/>
    <cellStyle name="style1775248929695" xfId="399" xr:uid="{E8B50192-09BB-4E15-8800-F5AC97B63BD0}"/>
    <cellStyle name="style1775248929732" xfId="404" xr:uid="{1C80B070-1E01-40E9-B0C7-1553308D3836}"/>
    <cellStyle name="style1775248929760" xfId="409" xr:uid="{332B2E3E-4942-4423-835E-302DF8422799}"/>
    <cellStyle name="style1775248929777" xfId="400" xr:uid="{A113E1F2-8D60-426F-A8E1-5E7031BD2579}"/>
    <cellStyle name="style1775248929805" xfId="405" xr:uid="{938AE24C-5E33-46A0-8BAD-AAC4256DBADF}"/>
    <cellStyle name="style1775248929837" xfId="410" xr:uid="{1C16475E-0E26-4DE9-8FCC-9E6A66968F1C}"/>
    <cellStyle name="style1775248929872" xfId="401" xr:uid="{9FCB30FE-4CF0-4ADD-B672-608D8D10F2B9}"/>
    <cellStyle name="style1775248929925" xfId="402" xr:uid="{E5599AEE-D9F8-4144-BDEF-E0906733FA07}"/>
    <cellStyle name="style1775248929952" xfId="403" xr:uid="{07654F67-5D62-4967-B689-37CBB22C4BAF}"/>
    <cellStyle name="style1775248929970" xfId="406" xr:uid="{E05F45CE-90AF-4679-BC6F-53CD9EF056E0}"/>
    <cellStyle name="style1775248930000" xfId="407" xr:uid="{53E07A29-E578-4C8B-BC2B-369B8B16C474}"/>
    <cellStyle name="style1775248930027" xfId="408" xr:uid="{46DDD2A1-5A98-4F1B-B84F-ADCE81FF050B}"/>
    <cellStyle name="style1775248930123" xfId="411" xr:uid="{9964860F-1588-402D-8FD3-4EADB9B71BC3}"/>
    <cellStyle name="style1775248930155" xfId="412" xr:uid="{9DEC2D56-B047-4E00-9BD6-09F8519B9AED}"/>
    <cellStyle name="style1775248930178" xfId="413" xr:uid="{230D2B67-6A5F-4926-81D1-0A55220D03EB}"/>
    <cellStyle name="style1775248937023" xfId="414" xr:uid="{705B159D-3C57-4ABF-9C65-BF596846CD06}"/>
    <cellStyle name="style1775249542545" xfId="332" xr:uid="{157FD506-2B27-469E-A7BB-681F433AA934}"/>
    <cellStyle name="style1775249542583" xfId="333" xr:uid="{4782EDB6-01C6-4E5A-B0F7-C828C3B826D6}"/>
    <cellStyle name="style1775249542592" xfId="331" xr:uid="{F2318E8D-871E-4E90-99FE-FEAC9F8B87C9}"/>
    <cellStyle name="style1775249542624" xfId="334" xr:uid="{2284CBDE-D24A-4643-B7BA-FCC517D57482}"/>
    <cellStyle name="style1775249542648" xfId="335" xr:uid="{B0BABE17-4796-48B7-AC2B-4391906302FB}"/>
    <cellStyle name="style1775249542671" xfId="336" xr:uid="{335F9D04-96F3-463C-8C1F-5EA6028926EB}"/>
    <cellStyle name="style1775249542687" xfId="337" xr:uid="{EFC6946A-50C4-4E7C-BF49-D465EE231A47}"/>
    <cellStyle name="style1775249542708" xfId="338" xr:uid="{DE1A0DBE-DF5E-4F5C-BB03-B1677AB303FD}"/>
    <cellStyle name="style1775249542735" xfId="339" xr:uid="{DD58AD4C-73BD-4D0A-B08E-9C1C3DAC5EE7}"/>
    <cellStyle name="style1775249542767" xfId="340" xr:uid="{D322458B-DBFE-4955-B204-3E685D1396DC}"/>
    <cellStyle name="style1775249542783" xfId="341" xr:uid="{1B11AB4E-11EF-4CF4-9531-73C744C498E8}"/>
    <cellStyle name="style1775249542830" xfId="342" xr:uid="{BA4E428B-6AA7-4559-BECB-730444AC8099}"/>
    <cellStyle name="style1775249542846" xfId="343" xr:uid="{C5BBEF51-7EF9-4B78-8461-C20190A9A91A}"/>
    <cellStyle name="style1775249542863" xfId="348" xr:uid="{60396B3B-3B55-4D31-894E-E93CED937035}"/>
    <cellStyle name="style1775249542894" xfId="353" xr:uid="{C85EB8D7-E932-452D-A82C-B178044FFFEC}"/>
    <cellStyle name="style1775249542916" xfId="344" xr:uid="{C219AE86-5CD1-4B0E-BBC3-23D3EE53E133}"/>
    <cellStyle name="style1775249542941" xfId="349" xr:uid="{54A143C1-B8F3-48E2-8B19-1B12D496AB22}"/>
    <cellStyle name="style1775249542964" xfId="354" xr:uid="{2D876FFF-5DA6-4271-9938-D33CC917C75A}"/>
    <cellStyle name="style1775249542985" xfId="345" xr:uid="{DED49254-CC1F-4239-B09B-C1E05EC31281}"/>
    <cellStyle name="style1775249543013" xfId="346" xr:uid="{DEB853B5-041D-46EA-A1CE-B252C9366F67}"/>
    <cellStyle name="style1775249543037" xfId="347" xr:uid="{1640FF65-1EC2-4627-8B10-07798EA24820}"/>
    <cellStyle name="style1775249543053" xfId="350" xr:uid="{5A4F809E-9FEC-43AF-8A59-6C1458B334F4}"/>
    <cellStyle name="style1775249543069" xfId="351" xr:uid="{4F24475B-44A9-44F1-9D19-EC727B1F3094}"/>
    <cellStyle name="style1775249543101" xfId="352" xr:uid="{4888ECC8-6AB4-45C4-84B7-2D0987310CDB}"/>
    <cellStyle name="style1775249543197" xfId="355" xr:uid="{497C9F41-AACB-4BA7-B725-6A5B79A44B3A}"/>
    <cellStyle name="style1775249543213" xfId="356" xr:uid="{99433CA4-8126-4EC5-9ADD-B82279B55763}"/>
    <cellStyle name="style1775249543245" xfId="357" xr:uid="{34686ACF-E496-42BE-9801-638F66481417}"/>
    <cellStyle name="style1775249549263" xfId="358" xr:uid="{5A62757D-5D14-4B96-AF33-2CB81DB0DA02}"/>
    <cellStyle name="style1775250204881" xfId="112" xr:uid="{AECE790D-0F6A-47E5-954B-05C959F165AF}"/>
    <cellStyle name="style1775250204932" xfId="113" xr:uid="{4D204B83-5634-4D62-9716-F0AB1DD24B39}"/>
    <cellStyle name="style1775250204979" xfId="111" xr:uid="{2E74DFBE-4869-4F6B-90F7-3AF1196BA9BF}"/>
    <cellStyle name="style1775250205019" xfId="114" xr:uid="{F6F7FCD7-843B-45FE-AD12-7792B4021303}"/>
    <cellStyle name="style1775250205063" xfId="115" xr:uid="{CFACD51B-241F-4E32-810F-DFF94D51AAC5}"/>
    <cellStyle name="style1775250205117" xfId="116" xr:uid="{2F2778F1-260A-4A6E-B519-FE5D4EF13B75}"/>
    <cellStyle name="style1775250205165" xfId="117" xr:uid="{0A3716A6-D403-4D91-A400-097CD4BD107A}"/>
    <cellStyle name="style1775250205215" xfId="118" xr:uid="{D40A7D26-AE6E-4347-8A29-F66057823A48}"/>
    <cellStyle name="style1775250205267" xfId="119" xr:uid="{0F7F50D0-B05B-4BD9-82F5-4BB9904C409D}"/>
    <cellStyle name="style1775250205353" xfId="120" xr:uid="{2770AB1F-5525-4D01-A47F-B2886D09517D}"/>
    <cellStyle name="style1775250205394" xfId="121" xr:uid="{0D88AC55-72C2-4F7E-961D-107C2C0BF642}"/>
    <cellStyle name="style1775250205463" xfId="122" xr:uid="{15417078-DFC6-46F5-9573-629F0882E48E}"/>
    <cellStyle name="style1775250205519" xfId="123" xr:uid="{924C1E27-3FE3-481A-AD37-1CA8FB55A458}"/>
    <cellStyle name="style1775250205592" xfId="128" xr:uid="{2FDFE124-87AA-4C6D-A0EF-ACF0A187358F}"/>
    <cellStyle name="style1775250205641" xfId="133" xr:uid="{001AFD8A-E0AD-42E6-8D91-A6793F05C1A8}"/>
    <cellStyle name="style1775250205684" xfId="124" xr:uid="{86C276D8-0C49-4243-8215-01B3D4C0E5AA}"/>
    <cellStyle name="style1775250205730" xfId="129" xr:uid="{C9791149-A82E-4E83-A83D-8ADE476F1096}"/>
    <cellStyle name="style1775250205778" xfId="134" xr:uid="{AFD4B68F-FD4F-45F5-ACF0-DC3CFA670626}"/>
    <cellStyle name="style1775250205821" xfId="125" xr:uid="{D492E5A3-FAD5-405D-84F4-05E3D8E21F7B}"/>
    <cellStyle name="style1775250205872" xfId="126" xr:uid="{A2DEC006-7599-4DEB-B515-34EC841C2D72}"/>
    <cellStyle name="style1775250205923" xfId="127" xr:uid="{583F75D7-C845-4279-A049-0431FFD315D4}"/>
    <cellStyle name="style1775250205981" xfId="130" xr:uid="{BC844F36-4628-45C6-BB2B-BCF46698DFB0}"/>
    <cellStyle name="style1775250206023" xfId="131" xr:uid="{11A04863-0205-4AC1-ABB9-E3064AC3575E}"/>
    <cellStyle name="style1775250206085" xfId="132" xr:uid="{CB892430-AA25-4BB6-9AC3-EE7B773A5C1E}"/>
    <cellStyle name="style1775250206439" xfId="135" xr:uid="{42A2D4F4-88DE-4460-B79C-4965E0772626}"/>
    <cellStyle name="style1775250206482" xfId="136" xr:uid="{005D61FD-5986-4BE7-AAFA-385014E7664B}"/>
    <cellStyle name="style1775250206546" xfId="137" xr:uid="{6088EDB4-41D3-4D8E-8824-3F1A0218B16D}"/>
    <cellStyle name="style1775251099863" xfId="500" xr:uid="{BB83B6D4-F9C6-40F9-B424-5AFD216AF87D}"/>
    <cellStyle name="style1775251099887" xfId="501" xr:uid="{4478C1A2-B112-4849-B6C4-3FDF92B4EAF2}"/>
    <cellStyle name="style1775251099895" xfId="499" xr:uid="{B7701809-8847-4687-A8F4-4E2A3EDD4FC3}"/>
    <cellStyle name="style1775251099927" xfId="502" xr:uid="{BBF58BEB-B877-4149-9719-836FBDC169F5}"/>
    <cellStyle name="style1775251099943" xfId="503" xr:uid="{6B682928-18D6-4891-804D-1952972012A3}"/>
    <cellStyle name="style1775251099975" xfId="504" xr:uid="{7D110A11-B743-4A47-857A-87B985AD2C58}"/>
    <cellStyle name="style1775251099991" xfId="505" xr:uid="{EE2FC12E-886F-41C8-9159-9C1C2045FB2F}"/>
    <cellStyle name="style1775251100023" xfId="506" xr:uid="{8838304C-C8C3-46C0-8601-702CCE1CF998}"/>
    <cellStyle name="style1775251100054" xfId="507" xr:uid="{81835CBF-B519-475D-A844-FBF07E4CAC32}"/>
    <cellStyle name="style1775251100094" xfId="508" xr:uid="{1169EC88-5269-41D9-9AAF-83B303A071EF}"/>
    <cellStyle name="style1775251100118" xfId="509" xr:uid="{5DA4C811-A523-47BA-83D2-D66284EF4E11}"/>
    <cellStyle name="style1775251100134" xfId="510" xr:uid="{C05B4546-14C0-4B16-B168-EBF776A5F1C9}"/>
    <cellStyle name="style1775251100168" xfId="511" xr:uid="{5EB3C0FB-DFC1-4927-B891-121D4FBA62A3}"/>
    <cellStyle name="style1775251100196" xfId="516" xr:uid="{B48D516B-8BAE-4DB7-8F67-9683DEC6DB50}"/>
    <cellStyle name="style1775251100217" xfId="521" xr:uid="{3BB6FEED-FE13-4738-8EB4-9339400C773F}"/>
    <cellStyle name="style1775251100229" xfId="512" xr:uid="{3D478679-0CA6-4FE1-89D7-C3C174704516}"/>
    <cellStyle name="style1775251100261" xfId="517" xr:uid="{D419B3A6-3579-49C0-9C60-14BEFB7520ED}"/>
    <cellStyle name="style1775251100277" xfId="522" xr:uid="{EDA3D693-8D2C-4CCD-BB5A-39F76D4A3FC5}"/>
    <cellStyle name="style1775251100293" xfId="513" xr:uid="{33BFA115-AAE5-464A-8030-5ABA797F96C2}"/>
    <cellStyle name="style1775251100325" xfId="514" xr:uid="{7B8CA148-B1E0-4BC1-A466-5D3D758A562E}"/>
    <cellStyle name="style1775251100357" xfId="515" xr:uid="{A826096E-927A-4C99-BACE-4B2B88D27935}"/>
    <cellStyle name="style1775251100373" xfId="518" xr:uid="{A0A168DD-8D19-4624-BB59-1CDEBDCD2381}"/>
    <cellStyle name="style1775251100388" xfId="519" xr:uid="{30E00221-76BA-452C-8225-A98993E79109}"/>
    <cellStyle name="style1775251100420" xfId="520" xr:uid="{FFCA1B58-3611-4A6F-BD80-7A55A9966E1B}"/>
    <cellStyle name="style1775251100595" xfId="523" xr:uid="{1B1F6A0E-A403-4BF7-B189-54379EED993D}"/>
    <cellStyle name="style1775251100611" xfId="524" xr:uid="{325D7AAF-D4F8-41BD-8280-5D152EE40854}"/>
    <cellStyle name="style1775251100643" xfId="525" xr:uid="{E4836634-23C0-4E0B-AAA7-6A222CC7414B}"/>
    <cellStyle name="style1775251109295" xfId="526" xr:uid="{163B2F17-1A60-46BA-B622-A79741A084C5}"/>
    <cellStyle name="style1775251672490" xfId="166" xr:uid="{4A1490B6-A931-46D6-A5CE-62C690999133}"/>
    <cellStyle name="style1775251672522" xfId="167" xr:uid="{1FB0E374-EA48-444A-997F-5252D0F98623}"/>
    <cellStyle name="style1775251672538" xfId="165" xr:uid="{86E33792-EF99-45EB-826E-BE3B88D54C8B}"/>
    <cellStyle name="style1775251672570" xfId="168" xr:uid="{7FB5C51A-1D93-4FD1-85A4-66D5D3CC9C80}"/>
    <cellStyle name="style1775251672586" xfId="169" xr:uid="{95F05322-DD64-420A-981E-AC889454C3FD}"/>
    <cellStyle name="style1775251672617" xfId="170" xr:uid="{6B8794A4-9109-4451-9114-8B44C0C7C4A9}"/>
    <cellStyle name="style1775251672633" xfId="171" xr:uid="{5CB00876-B8E5-4777-9CAF-14BEFA1593D9}"/>
    <cellStyle name="style1775251672665" xfId="172" xr:uid="{FA66E5D5-92D9-43FC-A552-1DA35A1216C6}"/>
    <cellStyle name="style1775251672681" xfId="173" xr:uid="{1B53437A-51E9-4EE3-9B78-C710CC7D6D0D}"/>
    <cellStyle name="style1775251672713" xfId="174" xr:uid="{59933D9E-15F1-492A-B8B6-F94AD66B5CD0}"/>
    <cellStyle name="style1775251672729" xfId="175" xr:uid="{55566888-D36F-42AA-BF7F-FA59771252BC}"/>
    <cellStyle name="style1775251672761" xfId="176" xr:uid="{F6211321-9709-43F0-B09B-5A61764E47F1}"/>
    <cellStyle name="style1775251672793" xfId="177" xr:uid="{0D276EE4-C79C-441E-8B86-C0C02CEAC27D}"/>
    <cellStyle name="style1775251672809" xfId="182" xr:uid="{77154C27-E3E4-4305-8853-819C02629BA6}"/>
    <cellStyle name="style1775251672825" xfId="187" xr:uid="{B43C64C8-C611-45C0-9030-0153120F79AE}"/>
    <cellStyle name="style1775251672857" xfId="178" xr:uid="{BDA75EC8-A20B-481D-A289-1D0A4F147855}"/>
    <cellStyle name="style1775251672873" xfId="183" xr:uid="{1CE229DF-92BC-438D-88BF-79F7C136C40F}"/>
    <cellStyle name="style1775251672889" xfId="188" xr:uid="{E7831BB8-726E-4036-B551-080797C73C2D}"/>
    <cellStyle name="style1775251672909" xfId="179" xr:uid="{9A0F2A11-1FFB-483F-8BE4-45E676ADE21E}"/>
    <cellStyle name="style1775251672937" xfId="180" xr:uid="{6F5CC468-6F4A-4E15-B5B2-2C9923244A5F}"/>
    <cellStyle name="style1775251672953" xfId="181" xr:uid="{111AB1EC-9DF9-4014-875E-8799B95643A8}"/>
    <cellStyle name="style1775251672985" xfId="184" xr:uid="{C512881A-7079-4D9C-873A-9FEAB1F8AC3A}"/>
    <cellStyle name="style1775251673001" xfId="185" xr:uid="{4241C218-D87D-4D4C-811E-35129BC31A00}"/>
    <cellStyle name="style1775251673033" xfId="186" xr:uid="{C7EC4441-3840-4D15-9B5D-0F337334390D}"/>
    <cellStyle name="style1775251673144" xfId="189" xr:uid="{5D30E53E-2010-402C-95AF-1458E27FC459}"/>
    <cellStyle name="style1775251673176" xfId="190" xr:uid="{88EAF208-7AC6-480D-B844-A2A6524317F6}"/>
    <cellStyle name="style1775251673192" xfId="191" xr:uid="{DF83940D-8DFD-456D-B53D-B9D874DF6708}"/>
    <cellStyle name="style1775251680240" xfId="192" xr:uid="{FB2440B9-CF7B-4131-8270-F0475F092F31}"/>
    <cellStyle name="style1775252858693" xfId="304" xr:uid="{77B2C0E0-F3DA-4F95-9742-C0949A36A8C1}"/>
    <cellStyle name="style1775252858718" xfId="305" xr:uid="{0663964F-52AA-447F-9D8E-68B1BCF7D62A}"/>
    <cellStyle name="style1775252858746" xfId="303" xr:uid="{515664FD-B793-4FB4-B099-983FBB854C13}"/>
    <cellStyle name="style1775252858766" xfId="306" xr:uid="{77F331F2-D1A9-435D-B035-CFF6045F48FF}"/>
    <cellStyle name="style1775252858789" xfId="307" xr:uid="{C698E1C8-8699-4EAB-A6AB-DED8159325E3}"/>
    <cellStyle name="style1775252858812" xfId="308" xr:uid="{AECD62C1-2F7E-4F5E-A309-3D6C9ED88C6E}"/>
    <cellStyle name="style1775252858834" xfId="309" xr:uid="{F9E82735-BBF4-4E10-A2AD-E538341A0FAB}"/>
    <cellStyle name="style1775252858857" xfId="310" xr:uid="{762F9D7E-8479-40D3-8924-EF89A1383771}"/>
    <cellStyle name="style1775252858881" xfId="311" xr:uid="{B42F6B57-5837-4D86-9F72-86240A4B95DC}"/>
    <cellStyle name="style1775252858916" xfId="312" xr:uid="{06B1BE55-52A4-4C0D-9BB2-7B442991EA2D}"/>
    <cellStyle name="style1775252858936" xfId="313" xr:uid="{785B48F6-5CE3-4AD2-8EC8-13E631400C6C}"/>
    <cellStyle name="style1775252858963" xfId="314" xr:uid="{0A2ECBF4-325B-45D1-A6DA-6010E0382D30}"/>
    <cellStyle name="style1775252858985" xfId="315" xr:uid="{179CB391-B8CE-44D7-9516-1113F28D1CEF}"/>
    <cellStyle name="style1775252859008" xfId="320" xr:uid="{F12A3BA2-ACF0-434B-9794-FD991B280125}"/>
    <cellStyle name="style1775252859029" xfId="325" xr:uid="{DD3FE10E-D0E7-49C6-A378-249CC5C2CBAE}"/>
    <cellStyle name="style1775252859049" xfId="316" xr:uid="{6C6E6CC6-35B4-4CFC-AFF1-F8FD13527385}"/>
    <cellStyle name="style1775252859068" xfId="321" xr:uid="{DE053F0E-5E98-4DFC-A7AD-04B5472B6C43}"/>
    <cellStyle name="style1775252859088" xfId="326" xr:uid="{176868A5-2C90-4BD8-A6C1-9593E7443893}"/>
    <cellStyle name="style1775252859110" xfId="317" xr:uid="{86EA025D-AAD7-4DCA-B8EA-3A1773AAB612}"/>
    <cellStyle name="style1775252859131" xfId="318" xr:uid="{0F3CA574-3F60-4F5C-A48D-D0ED3A5DE6C3}"/>
    <cellStyle name="style1775252859155" xfId="319" xr:uid="{E4215D8E-268C-48C7-9765-BFC801426326}"/>
    <cellStyle name="style1775252859177" xfId="322" xr:uid="{C5FD5800-86D5-4662-A400-EDD13A6FCA02}"/>
    <cellStyle name="style1775252859199" xfId="323" xr:uid="{5DE6CA4E-573E-4EE3-939C-779B90C66856}"/>
    <cellStyle name="style1775252859222" xfId="324" xr:uid="{CA249FCC-5C66-4831-BB5F-C25BDD341069}"/>
    <cellStyle name="style1775252859347" xfId="327" xr:uid="{0DEEB261-8667-40AE-A3C3-E8D7268E8123}"/>
    <cellStyle name="style1775252859371" xfId="328" xr:uid="{BE980057-4F50-42F5-8F71-C78C183BEBF7}"/>
    <cellStyle name="style1775252859396" xfId="329" xr:uid="{9F5DE368-A3C6-47E2-A60B-3E35F4107E00}"/>
    <cellStyle name="style1775252867310" xfId="330" xr:uid="{BFAD0889-11E8-4E01-8F6B-2FCC11387C55}"/>
    <cellStyle name="style1775253476289" xfId="472" xr:uid="{6F68D362-E9C9-4088-9E59-31FAD4BF7124}"/>
    <cellStyle name="style1775253476315" xfId="473" xr:uid="{5666273E-063B-4B5A-8B2D-E70FD77E4E30}"/>
    <cellStyle name="style1775253476331" xfId="471" xr:uid="{1D3100D0-FEFC-4057-8C9A-72B871002DC4}"/>
    <cellStyle name="style1775253476363" xfId="474" xr:uid="{5B75A52C-F2B2-42F7-BF31-B342405BA5CA}"/>
    <cellStyle name="style1775253476389" xfId="475" xr:uid="{CD65AA34-8FD2-4867-BD2C-A93B0469888F}"/>
    <cellStyle name="style1775253476411" xfId="476" xr:uid="{5D6FB128-0660-4301-9FA6-E5B4E6FE7EB6}"/>
    <cellStyle name="style1775253476427" xfId="477" xr:uid="{45B7563C-6770-4355-B7DA-A270F5B6402C}"/>
    <cellStyle name="style1775253476459" xfId="478" xr:uid="{3555BD42-E766-4F1F-8562-13B1C7832203}"/>
    <cellStyle name="style1775253476481" xfId="479" xr:uid="{9E65C1BE-CFFB-48E5-A33A-AE6CEAC9BADC}"/>
    <cellStyle name="style1775253476507" xfId="480" xr:uid="{DB8BEEDD-C15C-4946-91A8-71392D744B8F}"/>
    <cellStyle name="style1775253476539" xfId="481" xr:uid="{98418BD5-A916-4BDC-B6EB-B2FDF461FFD1}"/>
    <cellStyle name="style1775253476563" xfId="482" xr:uid="{B8E48DD2-D12A-4786-83B0-05340549D40B}"/>
    <cellStyle name="style1775253476593" xfId="483" xr:uid="{2B5A5288-3A5C-40B6-819B-BEA20E0F1376}"/>
    <cellStyle name="style1775253476605" xfId="488" xr:uid="{4C36B75B-DF8C-4350-9AFA-2C58D2A27EBD}"/>
    <cellStyle name="style1775253476635" xfId="493" xr:uid="{53F104C9-5D13-4DC9-96D7-CAE535D28D7F}"/>
    <cellStyle name="style1775253476651" xfId="484" xr:uid="{3CFFD531-30FD-4F40-8059-995601922EC2}"/>
    <cellStyle name="style1775253476667" xfId="489" xr:uid="{EA756A72-6017-4D3D-B417-2609190891BA}"/>
    <cellStyle name="style1775253476690" xfId="494" xr:uid="{2CEE5D58-1C22-4ECE-95D0-E2870A669373}"/>
    <cellStyle name="style1775253476715" xfId="485" xr:uid="{32BEEEE7-C03C-4E7A-B31D-CF309C983727}"/>
    <cellStyle name="style1775253476738" xfId="486" xr:uid="{1E7E9F40-CA7D-4A7C-992B-E3AF44A3405F}"/>
    <cellStyle name="style1775253476765" xfId="487" xr:uid="{6DBF0399-658D-4A6C-91E4-AE47704145E8}"/>
    <cellStyle name="style1775253476778" xfId="490" xr:uid="{0DC0ADF4-0D65-4B93-819A-E09EC91E2F94}"/>
    <cellStyle name="style1775253476794" xfId="491" xr:uid="{CD85B8F4-9086-4F29-8FB3-7C69282E503E}"/>
    <cellStyle name="style1775253476826" xfId="492" xr:uid="{67B94D19-A653-4468-9534-10A6F3823AF8}"/>
    <cellStyle name="style1775253476954" xfId="495" xr:uid="{1245BAFD-4084-4940-AB58-D98569A60D6F}"/>
    <cellStyle name="style1775253476975" xfId="496" xr:uid="{EC7FC26F-CBD0-4452-99F9-EDA304650F14}"/>
    <cellStyle name="style1775253477018" xfId="497" xr:uid="{E26A4945-5D25-41F5-B624-0B66531EB426}"/>
    <cellStyle name="style1775253483910" xfId="498" xr:uid="{1B323748-085D-4C5A-90AE-17EF4F0DAC1A}"/>
    <cellStyle name="style1775254054276" xfId="249" xr:uid="{11A55919-7F88-418A-AAA4-D1704389D79F}"/>
    <cellStyle name="style1775254054308" xfId="250" xr:uid="{1D898558-C69D-430F-AC8E-B90E8C6BDB9C}"/>
    <cellStyle name="style1775254054324" xfId="248" xr:uid="{8F7EBBC3-DE6C-4777-8424-80ABA9D03FAE}"/>
    <cellStyle name="style1775254054355" xfId="251" xr:uid="{3E88252C-992A-48B7-BD52-4F7ED20AE2CE}"/>
    <cellStyle name="style1775254054371" xfId="252" xr:uid="{3B0241DF-5034-47E6-89C1-DC30DE5E49EE}"/>
    <cellStyle name="style1775254054403" xfId="253" xr:uid="{308CFD37-88FF-44FB-9DD2-89A4BC53ADB1}"/>
    <cellStyle name="style1775254054435" xfId="254" xr:uid="{791EB379-1119-47E5-99B8-E45C0A901DAD}"/>
    <cellStyle name="style1775254054451" xfId="255" xr:uid="{59FFCBB2-2E4B-4726-8C8A-44055CC662FB}"/>
    <cellStyle name="style1775254054483" xfId="256" xr:uid="{2E1EC33A-DFCC-4F30-A29F-6456044E0A83}"/>
    <cellStyle name="style1775254054531" xfId="257" xr:uid="{CA592CD6-2C29-48FB-AF00-0580BB23AC2E}"/>
    <cellStyle name="style1775254054547" xfId="258" xr:uid="{2A580884-6B7F-48F3-9741-8E5E94F399AA}"/>
    <cellStyle name="style1775254054579" xfId="259" xr:uid="{B3326009-BF23-42D3-9BE1-D7C8DA1CB00D}"/>
    <cellStyle name="style1775254054595" xfId="260" xr:uid="{A61971B0-FFA5-46F0-A69B-3C826BB45A04}"/>
    <cellStyle name="style1775254054627" xfId="265" xr:uid="{B43DC87F-E2B2-429B-B793-90BAC3FED648}"/>
    <cellStyle name="style1775254054643" xfId="270" xr:uid="{EF19EF10-96F5-43AB-88F2-5BF68C86442F}"/>
    <cellStyle name="style1775254054661" xfId="261" xr:uid="{18954FA7-CF85-4BDA-A64F-F767B4090DC5}"/>
    <cellStyle name="style1775254054675" xfId="266" xr:uid="{4E6B470E-0A2D-4640-8F79-106B2319DE3C}"/>
    <cellStyle name="style1775254054707" xfId="271" xr:uid="{6AC28E2A-371F-43F8-9C30-1AE94AB86E66}"/>
    <cellStyle name="style1775254054723" xfId="262" xr:uid="{D51BB4C4-B88B-4A84-8087-3F09BBB11604}"/>
    <cellStyle name="style1775254054755" xfId="263" xr:uid="{21266752-122D-4B51-A548-E4EFE2C5E0CD}"/>
    <cellStyle name="style1775254054771" xfId="264" xr:uid="{4B4F45A9-2ADE-4FFF-99F5-987C1850F0C4}"/>
    <cellStyle name="style1775254054789" xfId="267" xr:uid="{7935F5B1-D883-4A08-BE74-D4896BE93C84}"/>
    <cellStyle name="style1775254054819" xfId="268" xr:uid="{BD20A3D0-6BAD-4080-A967-2F480A7E430F}"/>
    <cellStyle name="style1775254054835" xfId="269" xr:uid="{4664AE50-8811-4425-8857-04DF28178E40}"/>
    <cellStyle name="style1775254054965" xfId="272" xr:uid="{AAD03373-069B-4AB6-9107-98F3E2EEF8AE}"/>
    <cellStyle name="style1775254054995" xfId="273" xr:uid="{0B6B6740-F606-4040-B479-E841710E2BB1}"/>
    <cellStyle name="style1775254055026" xfId="274" xr:uid="{6E416E49-CB9C-4BE6-8703-DB74C56D989D}"/>
    <cellStyle name="style1775254544093" xfId="85" xr:uid="{DC944437-A9D4-4F3E-9863-66AC58517E51}"/>
    <cellStyle name="style1775254544125" xfId="86" xr:uid="{5590663D-54CF-4A80-99D7-FE8C43CA5D2E}"/>
    <cellStyle name="style1775254544173" xfId="84" xr:uid="{F5935061-2B65-4B9C-B8AF-A23395555DB5}"/>
    <cellStyle name="style1775254544211" xfId="87" xr:uid="{1BF06CE3-A2D4-426C-8440-0F0EF702E58B}"/>
    <cellStyle name="style1775254544234" xfId="88" xr:uid="{84E65AAB-FDFF-4057-8F3A-EE1453724993}"/>
    <cellStyle name="style1775254544261" xfId="89" xr:uid="{2AE9AF87-B723-46DA-9B9D-CD6E70EF62E4}"/>
    <cellStyle name="style1775254544281" xfId="90" xr:uid="{96437373-2FFD-4F10-8FEE-1D3CE7BAEDDD}"/>
    <cellStyle name="style1775254544301" xfId="91" xr:uid="{4CB57DD4-E2E0-4361-B79C-BE79EB8BF199}"/>
    <cellStyle name="style1775254544326" xfId="92" xr:uid="{7345BADE-640C-4FAC-98F2-14BCE3D78E00}"/>
    <cellStyle name="style1775254544360" xfId="93" xr:uid="{E6D7BE25-6EF9-44CC-8FD9-91A5F947093C}"/>
    <cellStyle name="style1775254544379" xfId="94" xr:uid="{42953148-0E6F-4A66-BCAC-54EF3AA67692}"/>
    <cellStyle name="style1775254544409" xfId="95" xr:uid="{69F10DD4-DF9E-4390-B9DC-CB82F8D7BB0E}"/>
    <cellStyle name="style1775254544431" xfId="96" xr:uid="{5A0CA71C-4C99-4AFB-88AF-D179CD92C277}"/>
    <cellStyle name="style1775254544455" xfId="101" xr:uid="{50315A8D-96A3-4CFA-BA56-BAE5BAF458C3}"/>
    <cellStyle name="style1775254544478" xfId="106" xr:uid="{CCFCC926-5281-4812-B7D8-6DB79358FB61}"/>
    <cellStyle name="style1775254544498" xfId="97" xr:uid="{C8004BE8-D3C2-42EB-BABF-ED783D1B1728}"/>
    <cellStyle name="style1775254544518" xfId="102" xr:uid="{54B4965D-CA41-4036-A918-9DD0E967DB86}"/>
    <cellStyle name="style1775254544537" xfId="107" xr:uid="{D9A59D96-9BBD-486C-9626-1E1F391228AF}"/>
    <cellStyle name="style1775254544559" xfId="98" xr:uid="{0F2F1587-32F1-4EFB-B2A2-43DCB21005E5}"/>
    <cellStyle name="style1775254544581" xfId="99" xr:uid="{B8F1E45A-5A31-457C-AC7E-B8EA4B8846DA}"/>
    <cellStyle name="style1775254544605" xfId="100" xr:uid="{005CC650-34D1-4DCD-AA9A-8B194E8E8C49}"/>
    <cellStyle name="style1775254544626" xfId="103" xr:uid="{DB3B7497-1DF0-4118-A5D8-316C02025FEE}"/>
    <cellStyle name="style1775254544645" xfId="104" xr:uid="{EE9A7C58-4585-4651-B137-DAEDC87DB95F}"/>
    <cellStyle name="style1775254544669" xfId="105" xr:uid="{A0DBAAF7-C450-41FC-B376-96B5B914139A}"/>
    <cellStyle name="style1775254544746" xfId="108" xr:uid="{78E62C6B-EECF-41BD-A595-1D0B533D03B4}"/>
    <cellStyle name="style1775254544769" xfId="109" xr:uid="{2D205602-A382-4FB9-8C1D-B5C629C93DFB}"/>
    <cellStyle name="style1775254544792" xfId="110" xr:uid="{39AE3DFE-4F0E-47B9-AD8C-22DE910F7645}"/>
    <cellStyle name="style1775255390614" xfId="30" xr:uid="{1B4BB747-110F-4DD1-8DBD-D2173F742548}"/>
    <cellStyle name="style1775255390641" xfId="31" xr:uid="{56D01E59-3D37-4759-A8EC-56C5DB00776A}"/>
    <cellStyle name="style1775255390661" xfId="29" xr:uid="{9D9A2200-C71B-4F75-8877-C06C98871C05}"/>
    <cellStyle name="style1775255390684" xfId="32" xr:uid="{BD707030-B6DC-487F-B2E2-C1762A36536C}"/>
    <cellStyle name="style1775255390706" xfId="33" xr:uid="{981BD052-EFA8-4482-9AD3-F2B6756E8019}"/>
    <cellStyle name="style1775255390730" xfId="34" xr:uid="{A94EEAB8-EAC7-4687-92EC-08D4862B5275}"/>
    <cellStyle name="style1775255390748" xfId="35" xr:uid="{09493EAF-7C5C-4A34-A11D-31FBEBB6D85E}"/>
    <cellStyle name="style1775255390762" xfId="36" xr:uid="{59B94336-45F3-4C82-AEC2-2A0B4A22F3C2}"/>
    <cellStyle name="style1775255390798" xfId="37" xr:uid="{EE0FFBF4-4386-4B8B-8225-AF737F64EC97}"/>
    <cellStyle name="style1775255390826" xfId="38" xr:uid="{CF754A68-E765-4EDC-85FA-C716AF739F58}"/>
    <cellStyle name="style1775255390841" xfId="39" xr:uid="{07DB892A-4C1B-4354-AB4A-3512DFEC667D}"/>
    <cellStyle name="style1775255390882" xfId="40" xr:uid="{21943ED3-7ECA-4690-8E50-3741C0B64822}"/>
    <cellStyle name="style1775255390906" xfId="41" xr:uid="{2F452B8B-9176-4ECE-AF68-4192824F2FBB}"/>
    <cellStyle name="style1775255390929" xfId="46" xr:uid="{A5CFF4E3-FC89-4814-A57F-77F2E7586248}"/>
    <cellStyle name="style1775255390949" xfId="51" xr:uid="{FEDEF15E-C275-42F7-B214-F89892D11962}"/>
    <cellStyle name="style1775255390971" xfId="42" xr:uid="{84661443-CDEF-437B-B4F4-C4FF02891476}"/>
    <cellStyle name="style1775255390991" xfId="47" xr:uid="{8058EF64-E93E-46C2-93CF-8494A946757F}"/>
    <cellStyle name="style1775255391012" xfId="52" xr:uid="{5C9B6E32-22F7-4144-A7FC-BAC1CD2C9A67}"/>
    <cellStyle name="style1775255391036" xfId="43" xr:uid="{E1DDB181-CA82-474D-8476-44104527EB3F}"/>
    <cellStyle name="style1775255391058" xfId="44" xr:uid="{09CAFFDE-E18D-4893-A3E2-F195C94D0D68}"/>
    <cellStyle name="style1775255391082" xfId="45" xr:uid="{31C4B19E-C362-499D-A5E3-046A2EA46EE3}"/>
    <cellStyle name="style1775255391108" xfId="48" xr:uid="{1F606483-AA0D-4253-AED0-A03FC6EBF31A}"/>
    <cellStyle name="style1775255391133" xfId="49" xr:uid="{FBF62D87-3707-4C80-BA77-483FF121C5D5}"/>
    <cellStyle name="style1775255391159" xfId="50" xr:uid="{87DDC12F-31B5-4506-9C3C-CE236692844C}"/>
    <cellStyle name="style1775255391454" xfId="53" xr:uid="{DED0DDBB-0D08-40C4-8E89-B306260AEDB4}"/>
    <cellStyle name="style1775255391487" xfId="54" xr:uid="{E671F5D6-C41D-4105-B2C7-837F9D4E0048}"/>
    <cellStyle name="style1775255391522" xfId="55" xr:uid="{1A6C3391-1810-4590-AC43-2F8CA2B8EB1F}"/>
    <cellStyle name="style1775255407705" xfId="56" xr:uid="{B61A5FB9-A72A-420D-AFEB-1E30346EA882}"/>
    <cellStyle name="style1775255921100" xfId="416" xr:uid="{D9D4F6DF-D7D5-4B44-8F0A-C33D4B5D4F98}"/>
    <cellStyle name="style1775255921125" xfId="417" xr:uid="{FA3F5F59-1798-439C-A5F4-1DAC7893067A}"/>
    <cellStyle name="style1775255921150" xfId="415" xr:uid="{BCF99BDC-0078-4DF7-A994-242C84859661}"/>
    <cellStyle name="style1775255921172" xfId="418" xr:uid="{8CACD129-FB1F-4471-BE52-F446413026FC}"/>
    <cellStyle name="style1775255921194" xfId="419" xr:uid="{44E1A261-5DB5-4A3A-BFE9-A93B5F2EE43B}"/>
    <cellStyle name="style1775255921214" xfId="420" xr:uid="{E36FC1EC-885B-44E1-841A-EDF77D0EFF76}"/>
    <cellStyle name="style1775255921230" xfId="421" xr:uid="{AE5E433C-B21C-4EF9-A64B-276A9F1504EE}"/>
    <cellStyle name="style1775255921246" xfId="422" xr:uid="{5979C301-0B89-4E4D-BF62-62B6593D8923}"/>
    <cellStyle name="style1775255921278" xfId="423" xr:uid="{469517F2-1828-4B89-B5E1-11C128042A44}"/>
    <cellStyle name="style1775255921326" xfId="424" xr:uid="{CDD9FFC9-6900-4C21-BFCD-403FE7402B8E}"/>
    <cellStyle name="style1775255921342" xfId="425" xr:uid="{819F91E6-9240-4324-8C1C-95835B1DE284}"/>
    <cellStyle name="style1775255921374" xfId="426" xr:uid="{0FB2A3B0-D4D2-4969-BB65-1826A1555A2D}"/>
    <cellStyle name="style1775255921394" xfId="427" xr:uid="{C505782E-0B74-43D8-91BF-21FFEE6EFEC9}"/>
    <cellStyle name="style1775255921422" xfId="432" xr:uid="{B7230F20-ADB7-417C-BF5F-66A87002A3ED}"/>
    <cellStyle name="style1775255921437" xfId="437" xr:uid="{93094CAE-031D-4454-836C-E3D04631494C}"/>
    <cellStyle name="style1775255921469" xfId="428" xr:uid="{22BCC863-BD56-414F-99CC-A31335CFB686}"/>
    <cellStyle name="style1775255921485" xfId="433" xr:uid="{26E7A960-D28A-4A0B-9A3C-DDE887F3B134}"/>
    <cellStyle name="style1775255921501" xfId="438" xr:uid="{1E812BBF-2AAC-4410-B902-2883B596D7F1}"/>
    <cellStyle name="style1775255921517" xfId="429" xr:uid="{4BAD9C6C-C666-448A-836D-ACF2D0BA05D2}"/>
    <cellStyle name="style1775255921549" xfId="430" xr:uid="{F4275D1B-AC3C-4F1D-AAA2-57561A2A2344}"/>
    <cellStyle name="style1775255921581" xfId="431" xr:uid="{15229D7A-BC6D-43CF-9D0E-646706AB95A4}"/>
    <cellStyle name="style1775255921597" xfId="434" xr:uid="{2567A76A-AE7A-437A-AC01-5DCD92878DFB}"/>
    <cellStyle name="style1775255921613" xfId="435" xr:uid="{412560D0-C7DE-478D-8EE8-2188EDC6CA35}"/>
    <cellStyle name="style1775255921644" xfId="436" xr:uid="{CF96263E-D781-413F-994C-F82567D8A697}"/>
    <cellStyle name="style1775255921724" xfId="439" xr:uid="{F099E3F2-C880-4968-A278-B24A8D92DCD7}"/>
    <cellStyle name="style1775255921755" xfId="440" xr:uid="{F2C48357-8230-4D4D-9DE1-BF802B968CAB}"/>
    <cellStyle name="style1775255921771" xfId="441" xr:uid="{311BBF9F-835E-45F4-84A8-8B8C7F6B8124}"/>
    <cellStyle name="style1775255927221" xfId="442" xr:uid="{04E0F2C1-EBBE-4D7B-B05F-BAD043EEE337}"/>
    <cellStyle name="style1775256535381" xfId="360" xr:uid="{31F5B5BA-F32D-4C6B-921C-CC14DDF451EB}"/>
    <cellStyle name="style1775256535413" xfId="361" xr:uid="{2B04B9ED-A8CE-42F0-ACB2-86F250C5715A}"/>
    <cellStyle name="style1775256535429" xfId="359" xr:uid="{7715C744-38EC-4D5D-AF67-420C2DBCCA55}"/>
    <cellStyle name="style1775256535461" xfId="362" xr:uid="{771485FC-645A-4CBD-B00B-D400B5BEB905}"/>
    <cellStyle name="style1775256535477" xfId="363" xr:uid="{B22C4540-6962-409F-BB57-02424D68F363}"/>
    <cellStyle name="style1775256535497" xfId="364" xr:uid="{28F53FB3-AC68-4413-8104-3EDD1F99BE99}"/>
    <cellStyle name="style1775256535525" xfId="365" xr:uid="{F4DB35F5-2059-47B2-ADA4-10C86D141983}"/>
    <cellStyle name="style1775256535541" xfId="366" xr:uid="{58B9A6DB-917B-4B33-A491-009BFC7D5E71}"/>
    <cellStyle name="style1775256535573" xfId="367" xr:uid="{F6504CF0-07EC-4360-A534-F6B6BBB3E0E8}"/>
    <cellStyle name="style1775256535605" xfId="368" xr:uid="{6F92B53B-6FF8-4C84-9AAC-230640E9DA85}"/>
    <cellStyle name="style1775256535629" xfId="369" xr:uid="{EEC4558B-4661-432F-9831-7E8D93357C8C}"/>
    <cellStyle name="style1775256535657" xfId="370" xr:uid="{5E82594B-A93F-40BE-B746-54E24858B1AA}"/>
    <cellStyle name="style1775256535668" xfId="371" xr:uid="{8650AA3B-8910-4140-9299-4FF0BBA721FE}"/>
    <cellStyle name="style1775256535700" xfId="376" xr:uid="{EFBBAAC4-CAE2-41EB-9037-F7E21F6A1091}"/>
    <cellStyle name="style1775256535718" xfId="381" xr:uid="{478B5C07-FC77-4FC9-8FA5-FD1FAEC25EBD}"/>
    <cellStyle name="style1775256535732" xfId="372" xr:uid="{AA3EF6E0-3678-477C-BF3C-ED3FCEAF01EC}"/>
    <cellStyle name="style1775256535764" xfId="377" xr:uid="{6E77CC00-221D-4EE6-9668-BDB6368A0353}"/>
    <cellStyle name="style1775256535780" xfId="382" xr:uid="{82282FC7-BFD1-4BC5-8555-0334CE603B04}"/>
    <cellStyle name="style1775256535796" xfId="373" xr:uid="{63738308-44FA-42B8-AED2-741387930C68}"/>
    <cellStyle name="style1775256535828" xfId="374" xr:uid="{ED8A20CB-1871-4EC9-82E9-210864138A2F}"/>
    <cellStyle name="style1775256535843" xfId="375" xr:uid="{EA183C1A-9971-4DDE-962C-2256CA5FB4FC}"/>
    <cellStyle name="style1775256535875" xfId="378" xr:uid="{CC8EB28E-C3A7-4DE6-80F6-8276F2827F6C}"/>
    <cellStyle name="style1775256535891" xfId="379" xr:uid="{2544F2B9-12CE-4E39-9B04-91FDE4F8327F}"/>
    <cellStyle name="style1775256535919" xfId="380" xr:uid="{12763DF5-CF29-439E-A351-F9FF636DBF28}"/>
    <cellStyle name="style1775256536019" xfId="383" xr:uid="{03DF6F12-3104-44BD-9E07-0AA424A2FC13}"/>
    <cellStyle name="style1775256536035" xfId="384" xr:uid="{A0CFC4FA-C577-4D84-8B32-C2CADA36BF2F}"/>
    <cellStyle name="style1775256536066" xfId="385" xr:uid="{C2346AE8-B36A-42A1-887B-D6B9A5629776}"/>
    <cellStyle name="style1775256542299" xfId="386" xr:uid="{0B19FADE-74BD-4DE0-917E-8A251C7075C0}"/>
    <cellStyle name="style1775257452555" xfId="139" xr:uid="{9C4AC8B7-FD8C-4140-9FC3-557BBB4E6BB2}"/>
    <cellStyle name="style1775257452599" xfId="140" xr:uid="{F482A851-3045-4A52-9EC9-71D62908F78D}"/>
    <cellStyle name="style1775257452646" xfId="138" xr:uid="{80F1C90F-7E11-427F-A769-864709560A10}"/>
    <cellStyle name="style1775257452744" xfId="141" xr:uid="{3D8DF22F-0A2C-4752-B509-115CB277DB45}"/>
    <cellStyle name="style1775257452826" xfId="142" xr:uid="{F286815B-8A72-43D7-BCD2-E83B5867A67A}"/>
    <cellStyle name="style1775257452923" xfId="143" xr:uid="{AD97C882-C79C-4551-B4A5-D44D20546A34}"/>
    <cellStyle name="style1775257452966" xfId="144" xr:uid="{3965CC88-D6B2-4D2E-AAE1-5AA451858239}"/>
    <cellStyle name="style1775257453011" xfId="145" xr:uid="{D331B508-E522-4D44-B8A3-84BCE782BC19}"/>
    <cellStyle name="style1775257453081" xfId="146" xr:uid="{D287B8E2-6914-40DB-B0E5-8D56812EC816}"/>
    <cellStyle name="style1775257453205" xfId="147" xr:uid="{98E4B08F-2D5D-40E0-82E1-71AE65633C4A}"/>
    <cellStyle name="style1775257453253" xfId="148" xr:uid="{E11E612C-2D36-485B-97D2-86C34B624AB8}"/>
    <cellStyle name="style1775257453395" xfId="149" xr:uid="{F723039E-BB8F-4ED0-84D2-D46B1F828159}"/>
    <cellStyle name="style1775257453444" xfId="150" xr:uid="{01F15C5B-D9AF-4CE5-8DC1-246B369A1F32}"/>
    <cellStyle name="style1775257453493" xfId="155" xr:uid="{D17CEE39-F435-4A68-9847-63CA16CA3D8A}"/>
    <cellStyle name="style1775257453538" xfId="160" xr:uid="{54308024-C749-4816-8A6E-F718C673E12C}"/>
    <cellStyle name="style1775257453576" xfId="151" xr:uid="{2271DD6E-3230-4A15-B065-CD25ED4B79B0}"/>
    <cellStyle name="style1775257453629" xfId="156" xr:uid="{30824E57-E095-4136-9CD6-5D0BD86E7003}"/>
    <cellStyle name="style1775257453687" xfId="161" xr:uid="{496785C7-FEC4-47A0-B3CD-602ACB57B340}"/>
    <cellStyle name="style1775257453751" xfId="152" xr:uid="{69558CBE-9EDB-4E14-AA2C-FD89B31A166B}"/>
    <cellStyle name="style1775257453796" xfId="153" xr:uid="{B47FA518-5B35-40BC-9277-96D278451662}"/>
    <cellStyle name="style1775257453897" xfId="154" xr:uid="{34D5108B-27C1-4691-ADB3-E7587CBD78D0}"/>
    <cellStyle name="style1775257453970" xfId="157" xr:uid="{8DA1CE28-B4DA-418A-A6FC-860B2F826305}"/>
    <cellStyle name="style1775257454008" xfId="158" xr:uid="{F6AFDDEF-F643-4C1D-9B9B-B89E6E4F52D1}"/>
    <cellStyle name="style1775257454113" xfId="159" xr:uid="{51ABFBBC-B1DD-47EA-AC62-4E910303F6EB}"/>
    <cellStyle name="style1775257454486" xfId="162" xr:uid="{9238C3B5-E3B3-41BA-8D00-133648181B7E}"/>
    <cellStyle name="style1775257454530" xfId="163" xr:uid="{EC68A615-6592-4949-A4D7-8F93498A8841}"/>
    <cellStyle name="style1775257454584" xfId="164" xr:uid="{13E3CFCB-F2E8-43CC-AF80-9F85DEB42DCC}"/>
    <cellStyle name="style1775258645249" xfId="528" xr:uid="{171298C1-2BA9-44E7-8FDF-14B81D4386B4}"/>
    <cellStyle name="style1775258645303" xfId="529" xr:uid="{628082C0-D0ED-4AA3-98E9-FC1759EB3CF7}"/>
    <cellStyle name="style1775258645376" xfId="527" xr:uid="{A9A8B753-F691-4E20-9EF6-5D74A03BD63A}"/>
    <cellStyle name="style1775258645433" xfId="530" xr:uid="{A7924E3E-253D-45F7-B09E-4FD2DF4A3AE5}"/>
    <cellStyle name="style1775258645485" xfId="531" xr:uid="{7CD0843B-A272-4309-8538-21C71D558541}"/>
    <cellStyle name="style1775258645599" xfId="532" xr:uid="{472991D5-2B68-4E79-9FBF-A0F091F7BA88}"/>
    <cellStyle name="style1775258645651" xfId="533" xr:uid="{45FC4C31-3764-4F04-AF41-57B4C6056AA4}"/>
    <cellStyle name="style1775258645693" xfId="534" xr:uid="{83AD7CA7-552E-47EE-96FE-04392C16E1EC}"/>
    <cellStyle name="style1775258645754" xfId="535" xr:uid="{545EDE51-31CD-4E81-BF37-1B0BC6D9D656}"/>
    <cellStyle name="style1775258645826" xfId="536" xr:uid="{32FAED60-E066-483A-9D25-59C688BEDFCC}"/>
    <cellStyle name="style1775258645879" xfId="537" xr:uid="{C7D1BAB5-A499-4434-B4E0-BBF99C834947}"/>
    <cellStyle name="style1775258645962" xfId="538" xr:uid="{1B50E601-7DA9-4ECC-B1C4-71347084FC29}"/>
    <cellStyle name="style1775258646019" xfId="539" xr:uid="{BACDCFB6-B87F-4D6C-9F5E-D1FEACA61DC5}"/>
    <cellStyle name="style1775258646096" xfId="544" xr:uid="{0BE88DCC-7E52-4387-962E-794B061458FB}"/>
    <cellStyle name="style1775258646152" xfId="549" xr:uid="{529A5938-B56C-4A78-9AFC-CB3FE205BB91}"/>
    <cellStyle name="style1775258646208" xfId="540" xr:uid="{E0578FCC-6967-4EBE-BD20-E644B9FD72EF}"/>
    <cellStyle name="style1775258646253" xfId="545" xr:uid="{AEE23007-D9AB-4041-B057-4C31FDC62E59}"/>
    <cellStyle name="style1775258646313" xfId="550" xr:uid="{B9F45F2B-7144-4475-8DF6-8AAF4B1DD6C3}"/>
    <cellStyle name="style1775258646354" xfId="541" xr:uid="{42C72F32-0A1E-4BE1-99C1-9E7DE9DE5CD8}"/>
    <cellStyle name="style1775258646426" xfId="542" xr:uid="{6BD0344D-1A8B-4D82-83DD-93AE7E9BC698}"/>
    <cellStyle name="style1775258646497" xfId="543" xr:uid="{170C4A5D-F569-451E-A72A-8F78361579D1}"/>
    <cellStyle name="style1775258646540" xfId="546" xr:uid="{9270750F-28B1-42EB-BDA4-38D31398003A}"/>
    <cellStyle name="style1775258646578" xfId="547" xr:uid="{3C1ADD66-5351-4E2A-AC2F-9D40419B6D82}"/>
    <cellStyle name="style1775258646660" xfId="548" xr:uid="{F9C73AF3-1D38-4CCB-AFA5-3538D868EDAD}"/>
    <cellStyle name="style1775258647177" xfId="551" xr:uid="{7087E060-3A53-4C3D-87CC-25D166A716B0}"/>
    <cellStyle name="style1775258647262" xfId="552" xr:uid="{1144BA7A-E5FE-4668-AA59-863F59B2584D}"/>
    <cellStyle name="style1775258647351" xfId="553" xr:uid="{4D7F30E4-D297-41FA-B596-C0823F345E37}"/>
    <cellStyle name="style1775258673402" xfId="554" xr:uid="{C82B37DD-5D0E-4AD3-911B-BE892635ADDD}"/>
    <cellStyle name="style1775259535426" xfId="194" xr:uid="{3458A880-4815-4A4B-96C6-BA06638B73DD}"/>
    <cellStyle name="style1775259535470" xfId="195" xr:uid="{948194B6-C6B0-4702-A7E6-14F9E4C06130}"/>
    <cellStyle name="style1775259535521" xfId="193" xr:uid="{DCF44B07-C81E-4C92-BCFE-23EEAF02D873}"/>
    <cellStyle name="style1775259535566" xfId="196" xr:uid="{E7940698-3AD3-4EEB-A447-83D684070505}"/>
    <cellStyle name="style1775259535603" xfId="197" xr:uid="{A7E3926B-D2BD-4079-97AB-2139056FA521}"/>
    <cellStyle name="style1775259535660" xfId="198" xr:uid="{FEBDF6D2-9770-4C96-8803-4969DE261964}"/>
    <cellStyle name="style1775259535704" xfId="199" xr:uid="{EFC47012-645D-4F92-9DBD-9E14AB5F1839}"/>
    <cellStyle name="style1775259535773" xfId="200" xr:uid="{0099F6F8-0253-4538-92BF-C9FC5062CB46}"/>
    <cellStyle name="style1775259535832" xfId="201" xr:uid="{B07625E4-D753-4D6E-9AEC-1F4BB6E955BA}"/>
    <cellStyle name="style1775259535987" xfId="202" xr:uid="{F597399D-8E0F-40F3-8819-0026992E5073}"/>
    <cellStyle name="style1775259536043" xfId="203" xr:uid="{CE15044D-1BF1-4B98-90BB-F464D71B4A53}"/>
    <cellStyle name="style1775259536147" xfId="204" xr:uid="{FCDD5DD8-582B-46B6-9A9D-F38820A7ED3C}"/>
    <cellStyle name="style1775259536211" xfId="205" xr:uid="{5D38E90B-11C6-4CED-B2A7-B660A2DCC499}"/>
    <cellStyle name="style1775259536271" xfId="210" xr:uid="{ECD8E21A-4A7B-4A50-AE32-C450E8BCFE43}"/>
    <cellStyle name="style1775259536332" xfId="215" xr:uid="{DC6AA5BC-D848-4455-A2F0-2F1EC92C402E}"/>
    <cellStyle name="style1775259536372" xfId="206" xr:uid="{AF8CCB29-A3F6-4538-B696-81EE6CD1F07B}"/>
    <cellStyle name="style1775259536411" xfId="211" xr:uid="{07F5C5D7-0928-406E-AD8E-1E9449EA0345}"/>
    <cellStyle name="style1775259536468" xfId="216" xr:uid="{1F41D676-9700-4D45-B103-5D1F03F5D169}"/>
    <cellStyle name="style1775259536534" xfId="207" xr:uid="{C56FE32E-8ABB-496D-AC5D-AC3192A87660}"/>
    <cellStyle name="style1775259536598" xfId="208" xr:uid="{9C4BA6B4-C5E4-4CEC-9721-0E35B2E241EC}"/>
    <cellStyle name="style1775259536657" xfId="209" xr:uid="{DC50BFAA-0932-4C78-9A10-65FD898F55E6}"/>
    <cellStyle name="style1775259536708" xfId="212" xr:uid="{BED9D840-A65A-446E-8E27-430DAC0BF510}"/>
    <cellStyle name="style1775259536746" xfId="213" xr:uid="{9B8FD82B-6C47-4318-B531-83D33641EC81}"/>
    <cellStyle name="style1775259536802" xfId="214" xr:uid="{CC4CD237-32BF-47EA-AA7C-77362B0C7E7F}"/>
    <cellStyle name="style1775259537169" xfId="217" xr:uid="{F33960BA-14F0-4FC7-A1FC-0CDF521A9E7B}"/>
    <cellStyle name="style1775259537229" xfId="218" xr:uid="{976D14CD-DEA7-4254-96B7-4787FEB97793}"/>
    <cellStyle name="style1775259537307" xfId="219" xr:uid="{DF6A1092-9191-4753-B63A-F6F35C5C87B0}"/>
    <cellStyle name="style1775259554566" xfId="220" xr:uid="{655F5C55-C8DE-4AA3-99A6-776BB28B398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ctrlProps/ctrlProp1.xml><?xml version="1.0" encoding="utf-8"?>
<formControlPr xmlns="http://schemas.microsoft.com/office/spreadsheetml/2009/9/main" objectType="Radio" checked="Checked" firstButton="1" fmlaLink="BackEnd!$E$2" lockText="1" noThreeD="1"/>
</file>

<file path=xl/ctrlProps/ctrlProp2.xml><?xml version="1.0" encoding="utf-8"?>
<formControlPr xmlns="http://schemas.microsoft.com/office/spreadsheetml/2009/9/main" objectType="Radio" lockText="1" noThreeD="1"/>
</file>

<file path=xl/ctrlProps/ctrlProp3.xml><?xml version="1.0" encoding="utf-8"?>
<formControlPr xmlns="http://schemas.microsoft.com/office/spreadsheetml/2009/9/main" objectType="Drop" dropLines="10" dropStyle="combo" dx="26" fmlaLink="BackEnd!$E$5" fmlaRange="BackEnd!$I$2:$I$11" noThreeD="1" sel="1" val="0"/>
</file>

<file path=xl/ctrlProps/ctrlProp4.xml><?xml version="1.0" encoding="utf-8"?>
<formControlPr xmlns="http://schemas.microsoft.com/office/spreadsheetml/2009/9/main" objectType="Button" lockText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hyperlink" Target="#Home!A1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38100</xdr:colOff>
          <xdr:row>3</xdr:row>
          <xdr:rowOff>76200</xdr:rowOff>
        </xdr:from>
        <xdr:to>
          <xdr:col>2</xdr:col>
          <xdr:colOff>657225</xdr:colOff>
          <xdr:row>5</xdr:row>
          <xdr:rowOff>28575</xdr:rowOff>
        </xdr:to>
        <xdr:sp macro="" textlink="">
          <xdr:nvSpPr>
            <xdr:cNvPr id="21505" name="Option Button 1" hidden="1">
              <a:extLst>
                <a:ext uri="{63B3BB69-23CF-44E3-9099-C40C66FF867C}">
                  <a14:compatExt spid="_x0000_s21505"/>
                </a:ext>
                <a:ext uri="{FF2B5EF4-FFF2-40B4-BE49-F238E27FC236}">
                  <a16:creationId xmlns:a16="http://schemas.microsoft.com/office/drawing/2014/main" id="{00000000-0008-0000-0000-000001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Count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66675</xdr:colOff>
          <xdr:row>5</xdr:row>
          <xdr:rowOff>28575</xdr:rowOff>
        </xdr:from>
        <xdr:to>
          <xdr:col>2</xdr:col>
          <xdr:colOff>666750</xdr:colOff>
          <xdr:row>6</xdr:row>
          <xdr:rowOff>171450</xdr:rowOff>
        </xdr:to>
        <xdr:sp macro="" textlink="">
          <xdr:nvSpPr>
            <xdr:cNvPr id="21506" name="Option Button 2" hidden="1">
              <a:extLst>
                <a:ext uri="{63B3BB69-23CF-44E3-9099-C40C66FF867C}">
                  <a14:compatExt spid="_x0000_s21506"/>
                </a:ext>
                <a:ext uri="{FF2B5EF4-FFF2-40B4-BE49-F238E27FC236}">
                  <a16:creationId xmlns:a16="http://schemas.microsoft.com/office/drawing/2014/main" id="{00000000-0008-0000-0000-000002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%</a:t>
              </a:r>
            </a:p>
          </xdr:txBody>
        </xdr:sp>
        <xdr:clientData/>
      </xdr:twoCellAnchor>
    </mc:Choice>
    <mc:Fallback/>
  </mc:AlternateContent>
  <xdr:oneCellAnchor>
    <xdr:from>
      <xdr:col>2</xdr:col>
      <xdr:colOff>57150</xdr:colOff>
      <xdr:row>0</xdr:row>
      <xdr:rowOff>0</xdr:rowOff>
    </xdr:from>
    <xdr:ext cx="676275" cy="52291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6350" y="0"/>
          <a:ext cx="676275" cy="522910"/>
        </a:xfrm>
        <a:prstGeom prst="rect">
          <a:avLst/>
        </a:prstGeom>
      </xdr:spPr>
    </xdr:pic>
    <xdr:clientData/>
  </xdr:oneCellAnchor>
  <xdr:twoCellAnchor>
    <xdr:from>
      <xdr:col>2</xdr:col>
      <xdr:colOff>0</xdr:colOff>
      <xdr:row>2</xdr:row>
      <xdr:rowOff>171450</xdr:rowOff>
    </xdr:from>
    <xdr:to>
      <xdr:col>2</xdr:col>
      <xdr:colOff>695325</xdr:colOff>
      <xdr:row>6</xdr:row>
      <xdr:rowOff>161925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219200" y="537210"/>
          <a:ext cx="695325" cy="721995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3990975</xdr:colOff>
          <xdr:row>3</xdr:row>
          <xdr:rowOff>104775</xdr:rowOff>
        </xdr:from>
        <xdr:to>
          <xdr:col>3</xdr:col>
          <xdr:colOff>104775</xdr:colOff>
          <xdr:row>5</xdr:row>
          <xdr:rowOff>28575</xdr:rowOff>
        </xdr:to>
        <xdr:sp macro="" textlink="">
          <xdr:nvSpPr>
            <xdr:cNvPr id="21507" name="Drop Down 3" hidden="1">
              <a:extLst>
                <a:ext uri="{63B3BB69-23CF-44E3-9099-C40C66FF867C}">
                  <a14:compatExt spid="_x0000_s21507"/>
                </a:ext>
                <a:ext uri="{FF2B5EF4-FFF2-40B4-BE49-F238E27FC236}">
                  <a16:creationId xmlns:a16="http://schemas.microsoft.com/office/drawing/2014/main" id="{00000000-0008-0000-0000-000003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0</xdr:colOff>
      <xdr:row>0</xdr:row>
      <xdr:rowOff>0</xdr:rowOff>
    </xdr:from>
    <xdr:to>
      <xdr:col>29</xdr:col>
      <xdr:colOff>0</xdr:colOff>
      <xdr:row>1</xdr:row>
      <xdr:rowOff>28575</xdr:rowOff>
    </xdr:to>
    <xdr:grpSp>
      <xdr:nvGrpSpPr>
        <xdr:cNvPr id="2" name="Group 4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>
          <a:grpSpLocks/>
        </xdr:cNvGrpSpPr>
      </xdr:nvGrpSpPr>
      <xdr:grpSpPr bwMode="auto">
        <a:xfrm>
          <a:off x="30432375" y="0"/>
          <a:ext cx="1724025" cy="209550"/>
          <a:chOff x="13317097" y="130348"/>
          <a:chExt cx="1408020" cy="194619"/>
        </a:xfrm>
      </xdr:grpSpPr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22529" name="Button 1" hidden="1">
                <a:extLst>
                  <a:ext uri="{63B3BB69-23CF-44E3-9099-C40C66FF867C}">
                    <a14:compatExt spid="_x0000_s22529"/>
                  </a:ext>
                  <a:ext uri="{FF2B5EF4-FFF2-40B4-BE49-F238E27FC236}">
                    <a16:creationId xmlns:a16="http://schemas.microsoft.com/office/drawing/2014/main" id="{00000000-0008-0000-0100-000001580000}"/>
                  </a:ext>
                </a:extLst>
              </xdr:cNvPr>
              <xdr:cNvSpPr/>
            </xdr:nvSpPr>
            <xdr:spPr bwMode="auto">
              <a:xfrm>
                <a:off x="13317097" y="134471"/>
                <a:ext cx="1408020" cy="190496"/>
              </a:xfrm>
              <a:prstGeom prst="rect">
                <a:avLst/>
              </a:prstGeom>
              <a:noFill/>
              <a:ln w="9525">
                <a:miter lim="800000"/>
                <a:headEnd/>
                <a:tailEnd/>
              </a:ln>
            </xdr:spPr>
            <xdr:txBody>
              <a:bodyPr vertOverflow="clip" wrap="square" lIns="27432" tIns="27432" rIns="27432" bIns="27432" anchor="ctr" upright="1"/>
              <a:lstStyle/>
              <a:p>
                <a:pPr algn="ctr" rtl="0">
                  <a:defRPr sz="1000"/>
                </a:pPr>
                <a:r>
                  <a:rPr lang="en-US"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rPr>
                  <a:t>Home</a:t>
                </a:r>
              </a:p>
            </xdr:txBody>
          </xdr:sp>
        </mc:Choice>
        <mc:Fallback/>
      </mc:AlternateContent>
      <xdr:pic>
        <xdr:nvPicPr>
          <xdr:cNvPr id="3" name="Rectangle 1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id="{00000000-0008-0000-0100-000003000000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3386816" y="130348"/>
            <a:ext cx="1298448" cy="16459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5" Type="http://schemas.openxmlformats.org/officeDocument/2006/relationships/ctrlProp" Target="../ctrlProps/ctrlProp3.xml"/><Relationship Id="rId4" Type="http://schemas.openxmlformats.org/officeDocument/2006/relationships/ctrlProp" Target="../ctrlProps/ctrlProp2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4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2E693-D67A-4C88-BF66-83635C7F44D0}">
  <dimension ref="C1:M69"/>
  <sheetViews>
    <sheetView showGridLines="0" tabSelected="1" topLeftCell="B1" workbookViewId="0">
      <selection activeCell="D11" sqref="D11"/>
    </sheetView>
  </sheetViews>
  <sheetFormatPr defaultRowHeight="15" x14ac:dyDescent="0.25"/>
  <cols>
    <col min="3" max="3" width="83.42578125" customWidth="1"/>
    <col min="4" max="4" width="18.140625" customWidth="1"/>
  </cols>
  <sheetData>
    <row r="1" spans="3:13" x14ac:dyDescent="0.25">
      <c r="C1" s="2"/>
      <c r="D1" s="3"/>
    </row>
    <row r="2" spans="3:13" x14ac:dyDescent="0.25">
      <c r="C2" s="4"/>
      <c r="D2" s="3"/>
    </row>
    <row r="3" spans="3:13" x14ac:dyDescent="0.25">
      <c r="C3" s="4"/>
      <c r="D3" s="5" t="s">
        <v>404</v>
      </c>
    </row>
    <row r="4" spans="3:13" x14ac:dyDescent="0.25">
      <c r="C4" s="4"/>
      <c r="D4" s="3"/>
    </row>
    <row r="5" spans="3:13" x14ac:dyDescent="0.25">
      <c r="C5" s="4"/>
      <c r="D5" s="3"/>
    </row>
    <row r="6" spans="3:13" x14ac:dyDescent="0.25">
      <c r="C6" s="4"/>
      <c r="D6" s="3"/>
    </row>
    <row r="7" spans="3:13" x14ac:dyDescent="0.25">
      <c r="C7" s="4"/>
      <c r="D7" s="3"/>
    </row>
    <row r="8" spans="3:13" ht="15.75" x14ac:dyDescent="0.25">
      <c r="C8" s="50" t="s">
        <v>405</v>
      </c>
      <c r="D8" s="51"/>
    </row>
    <row r="9" spans="3:13" x14ac:dyDescent="0.25">
      <c r="C9" s="6"/>
      <c r="D9" s="7" t="s">
        <v>406</v>
      </c>
    </row>
    <row r="10" spans="3:13" x14ac:dyDescent="0.25">
      <c r="C10" s="8" t="str" cm="1">
        <f t="array" aca="1" ref="C10" ca="1">IFERROR(HYPERLINK(
  "#'" &amp;
  _xlfn.IFS(
    BackEnd!$F$5="Noodles", IF(BackEnd!$E$2=2, "N_%", "N_Count"),
    BackEnd!$F$5="Toothpaste", IF(BackEnd!$E$2=2, "TP_%", "TP_Count"),
    BackEnd!$F$5="Breakfast Cereal", IF(BackEnd!$E$2=2, "BC_%", "BC_Count"),
    BackEnd!$F$5="Bleach", IF(BackEnd!$E$2=2, "BL_%", "BL_Count"),
    BackEnd!$F$5="Edible Oil", IF(BackEnd!$E$2=2, "EO_%", "EO_Count"),
    BackEnd!$F$5="Snacks", IF(BackEnd!$E$2=2, "SK_%", "SK_Count"),
    BackEnd!$F$5="Condiment Mixes", IF(BackEnd!$E$2=2, "CM_%", "CM_Count"),
    BackEnd!$F$5="Wet Hair", IF(BackEnd!$E$2=2, "WH_%", "WH_Count"),
    BackEnd!$F$5="Dry Hair", IF(BackEnd!$E$2=2, "DH_%", "DH_Count"),
    BackEnd!$F$5="Toilet Cleaner", IF(BackEnd!$E$2=2, "TC_%", "TC_Count")
  ) &amp;
  "'!A" &amp;
  MATCH(
    BackEnd!B6,
    INDIRECT("'" &amp;
      _xlfn.IFS(
        BackEnd!$F$5="Noodles", IF(BackEnd!$E$2=2, "N_%", "N_Count"),
        BackEnd!$F$5="Toothpaste", IF(BackEnd!$E$2=2, "TP_%", "TP_Count"),
        BackEnd!$F$5="Breakfast Cereal", IF(BackEnd!$E$2=2, "BC_%", "BC_Count"),
        BackEnd!$F$5="Bleach", IF(BackEnd!$E$2=2, "BL_%", "BL_Count"),
        BackEnd!$F$5="Edible Oil", IF(BackEnd!$E$2=2, "EO_%", "EO_Count"),
        BackEnd!$F$5="Snacks", IF(BackEnd!$E$2=2, "SK_%", "SK_Count"),
        BackEnd!$F$5="Condiment Mixes", IF(BackEnd!$E$2=2, "CM_%", "CM_Count"),
        BackEnd!$F$5="Wet Hair", IF(BackEnd!$E$2=2, "WH_%", "WH_Count"),
        BackEnd!$F$5="Dry Hair", IF(BackEnd!$E$2=2, "DH_%", "DH_Count"),
        BackEnd!$F$5="Toilet Cleaner", IF(BackEnd!$E$2=2, "TC_%", "TC_Count")
      ) &amp; "'!A:A"
    ),
    0
  ),
  BackEnd!B6
),"")</f>
        <v/>
      </c>
      <c r="D10" s="9" t="e">
        <f>IF(BackEnd!C6="","",BackEnd!C6)</f>
        <v>#REF!</v>
      </c>
      <c r="I10" s="10"/>
      <c r="J10" s="10"/>
      <c r="K10" s="10"/>
      <c r="L10" s="10"/>
    </row>
    <row r="11" spans="3:13" x14ac:dyDescent="0.25">
      <c r="C11" s="8" t="str" cm="1">
        <f t="array" aca="1" ref="C11" ca="1">IFERROR(HYPERLINK(
  "#'" &amp;
  _xlfn.IFS(
    BackEnd!$F$5="Noodles", IF(BackEnd!$E$2=2, "N_%", "N_Count"),
    BackEnd!$F$5="Toothpaste", IF(BackEnd!$E$2=2, "TP_%", "TP_Count"),
    BackEnd!$F$5="Breakfast Cereal", IF(BackEnd!$E$2=2, "BC_%", "BC_Count"),
    BackEnd!$F$5="Bleach", IF(BackEnd!$E$2=2, "BL_%", "BL_Count"),
    BackEnd!$F$5="Edible Oil", IF(BackEnd!$E$2=2, "EO_%", "EO_Count"),
    BackEnd!$F$5="Snacks", IF(BackEnd!$E$2=2, "SK_%", "SK_Count"),
    BackEnd!$F$5="Condiment Mixes", IF(BackEnd!$E$2=2, "CM_%", "CM_Count"),
    BackEnd!$F$5="Wet Hair", IF(BackEnd!$E$2=2, "WH_%", "WH_Count"),
    BackEnd!$F$5="Dry Hair", IF(BackEnd!$E$2=2, "DH_%", "DH_Count"),
    BackEnd!$F$5="Toilet Cleaner", IF(BackEnd!$E$2=2, "TC_%", "TC_Count")
  ) &amp;
  "'!A" &amp;
  MATCH(
    BackEnd!B7,
    INDIRECT("'" &amp;
      _xlfn.IFS(
        BackEnd!$F$5="Noodles", IF(BackEnd!$E$2=2, "N_%", "N_Count"),
        BackEnd!$F$5="Toothpaste", IF(BackEnd!$E$2=2, "TP_%", "TP_Count"),
        BackEnd!$F$5="Breakfast Cereal", IF(BackEnd!$E$2=2, "BC_%", "BC_Count"),
        BackEnd!$F$5="Bleach", IF(BackEnd!$E$2=2, "BL_%", "BL_Count"),
        BackEnd!$F$5="Edible Oil", IF(BackEnd!$E$2=2, "EO_%", "EO_Count"),
        BackEnd!$F$5="Snacks", IF(BackEnd!$E$2=2, "SK_%", "SK_Count"),
        BackEnd!$F$5="Condiment Mixes", IF(BackEnd!$E$2=2, "CM_%", "CM_Count"),
        BackEnd!$F$5="Wet Hair", IF(BackEnd!$E$2=2, "WH_%", "WH_Count"),
        BackEnd!$F$5="Dry Hair", IF(BackEnd!$E$2=2, "DH_%", "DH_Count"),
        BackEnd!$F$5="Toilet Cleaner", IF(BackEnd!$E$2=2, "TC_%", "TC_Count")
      ) &amp; "'!A:A"
    ),
    0
  ),
  BackEnd!B7
),"")</f>
        <v/>
      </c>
      <c r="D11" s="9" t="e">
        <f>IF(BackEnd!C7="","",BackEnd!C7)</f>
        <v>#REF!</v>
      </c>
    </row>
    <row r="12" spans="3:13" x14ac:dyDescent="0.25">
      <c r="C12" s="8" t="str" cm="1">
        <f t="array" aca="1" ref="C12" ca="1">IFERROR(HYPERLINK(
  "#'" &amp;
  _xlfn.IFS(
    BackEnd!$F$5="Noodles", IF(BackEnd!$E$2=2, "N_%", "N_Count"),
    BackEnd!$F$5="Toothpaste", IF(BackEnd!$E$2=2, "TP_%", "TP_Count"),
    BackEnd!$F$5="Breakfast Cereal", IF(BackEnd!$E$2=2, "BC_%", "BC_Count"),
    BackEnd!$F$5="Bleach", IF(BackEnd!$E$2=2, "BL_%", "BL_Count"),
    BackEnd!$F$5="Edible Oil", IF(BackEnd!$E$2=2, "EO_%", "EO_Count"),
    BackEnd!$F$5="Snacks", IF(BackEnd!$E$2=2, "SK_%", "SK_Count"),
    BackEnd!$F$5="Condiment Mixes", IF(BackEnd!$E$2=2, "CM_%", "CM_Count"),
    BackEnd!$F$5="Wet Hair", IF(BackEnd!$E$2=2, "WH_%", "WH_Count"),
    BackEnd!$F$5="Dry Hair", IF(BackEnd!$E$2=2, "DH_%", "DH_Count"),
    BackEnd!$F$5="Toilet Cleaner", IF(BackEnd!$E$2=2, "TC_%", "TC_Count")
  ) &amp;
  "'!A" &amp;
  MATCH(
    BackEnd!B8,
    INDIRECT("'" &amp;
      _xlfn.IFS(
        BackEnd!$F$5="Noodles", IF(BackEnd!$E$2=2, "N_%", "N_Count"),
        BackEnd!$F$5="Toothpaste", IF(BackEnd!$E$2=2, "TP_%", "TP_Count"),
        BackEnd!$F$5="Breakfast Cereal", IF(BackEnd!$E$2=2, "BC_%", "BC_Count"),
        BackEnd!$F$5="Bleach", IF(BackEnd!$E$2=2, "BL_%", "BL_Count"),
        BackEnd!$F$5="Edible Oil", IF(BackEnd!$E$2=2, "EO_%", "EO_Count"),
        BackEnd!$F$5="Snacks", IF(BackEnd!$E$2=2, "SK_%", "SK_Count"),
        BackEnd!$F$5="Condiment Mixes", IF(BackEnd!$E$2=2, "CM_%", "CM_Count"),
        BackEnd!$F$5="Wet Hair", IF(BackEnd!$E$2=2, "WH_%", "WH_Count"),
        BackEnd!$F$5="Dry Hair", IF(BackEnd!$E$2=2, "DH_%", "DH_Count"),
        BackEnd!$F$5="Toilet Cleaner", IF(BackEnd!$E$2=2, "TC_%", "TC_Count")
      ) &amp; "'!A:A"
    ),
    0
  ),
  BackEnd!B8
),"")</f>
        <v/>
      </c>
      <c r="D12" s="9" t="e">
        <f>IF(BackEnd!C8="","",BackEnd!C8)</f>
        <v>#REF!</v>
      </c>
    </row>
    <row r="13" spans="3:13" x14ac:dyDescent="0.25">
      <c r="C13" s="8" t="str" cm="1">
        <f t="array" aca="1" ref="C13" ca="1">IFERROR(HYPERLINK(
  "#'" &amp;
  _xlfn.IFS(
    BackEnd!$F$5="Noodles", IF(BackEnd!$E$2=2, "N_%", "N_Count"),
    BackEnd!$F$5="Toothpaste", IF(BackEnd!$E$2=2, "TP_%", "TP_Count"),
    BackEnd!$F$5="Breakfast Cereal", IF(BackEnd!$E$2=2, "BC_%", "BC_Count"),
    BackEnd!$F$5="Bleach", IF(BackEnd!$E$2=2, "BL_%", "BL_Count"),
    BackEnd!$F$5="Edible Oil", IF(BackEnd!$E$2=2, "EO_%", "EO_Count"),
    BackEnd!$F$5="Snacks", IF(BackEnd!$E$2=2, "SK_%", "SK_Count"),
    BackEnd!$F$5="Condiment Mixes", IF(BackEnd!$E$2=2, "CM_%", "CM_Count"),
    BackEnd!$F$5="Wet Hair", IF(BackEnd!$E$2=2, "WH_%", "WH_Count"),
    BackEnd!$F$5="Dry Hair", IF(BackEnd!$E$2=2, "DH_%", "DH_Count"),
    BackEnd!$F$5="Toilet Cleaner", IF(BackEnd!$E$2=2, "TC_%", "TC_Count")
  ) &amp;
  "'!A" &amp;
  MATCH(
    BackEnd!B9,
    INDIRECT("'" &amp;
      _xlfn.IFS(
        BackEnd!$F$5="Noodles", IF(BackEnd!$E$2=2, "N_%", "N_Count"),
        BackEnd!$F$5="Toothpaste", IF(BackEnd!$E$2=2, "TP_%", "TP_Count"),
        BackEnd!$F$5="Breakfast Cereal", IF(BackEnd!$E$2=2, "BC_%", "BC_Count"),
        BackEnd!$F$5="Bleach", IF(BackEnd!$E$2=2, "BL_%", "BL_Count"),
        BackEnd!$F$5="Edible Oil", IF(BackEnd!$E$2=2, "EO_%", "EO_Count"),
        BackEnd!$F$5="Snacks", IF(BackEnd!$E$2=2, "SK_%", "SK_Count"),
        BackEnd!$F$5="Condiment Mixes", IF(BackEnd!$E$2=2, "CM_%", "CM_Count"),
        BackEnd!$F$5="Wet Hair", IF(BackEnd!$E$2=2, "WH_%", "WH_Count"),
        BackEnd!$F$5="Dry Hair", IF(BackEnd!$E$2=2, "DH_%", "DH_Count"),
        BackEnd!$F$5="Toilet Cleaner", IF(BackEnd!$E$2=2, "TC_%", "TC_Count")
      ) &amp; "'!A:A"
    ),
    0
  ),
  BackEnd!B9
),"")</f>
        <v/>
      </c>
      <c r="D13" s="9" t="e">
        <f>IF(BackEnd!C9="","",BackEnd!C9)</f>
        <v>#REF!</v>
      </c>
    </row>
    <row r="14" spans="3:13" x14ac:dyDescent="0.25">
      <c r="C14" s="8" t="str" cm="1">
        <f t="array" aca="1" ref="C14" ca="1">IFERROR(HYPERLINK(
  "#'" &amp;
  _xlfn.IFS(
    BackEnd!$F$5="Noodles", IF(BackEnd!$E$2=2, "N_%", "N_Count"),
    BackEnd!$F$5="Toothpaste", IF(BackEnd!$E$2=2, "TP_%", "TP_Count"),
    BackEnd!$F$5="Breakfast Cereal", IF(BackEnd!$E$2=2, "BC_%", "BC_Count"),
    BackEnd!$F$5="Bleach", IF(BackEnd!$E$2=2, "BL_%", "BL_Count"),
    BackEnd!$F$5="Edible Oil", IF(BackEnd!$E$2=2, "EO_%", "EO_Count"),
    BackEnd!$F$5="Snacks", IF(BackEnd!$E$2=2, "SK_%", "SK_Count"),
    BackEnd!$F$5="Condiment Mixes", IF(BackEnd!$E$2=2, "CM_%", "CM_Count"),
    BackEnd!$F$5="Wet Hair", IF(BackEnd!$E$2=2, "WH_%", "WH_Count"),
    BackEnd!$F$5="Dry Hair", IF(BackEnd!$E$2=2, "DH_%", "DH_Count"),
    BackEnd!$F$5="Toilet Cleaner", IF(BackEnd!$E$2=2, "TC_%", "TC_Count")
  ) &amp;
  "'!A" &amp;
  MATCH(
    BackEnd!B10,
    INDIRECT("'" &amp;
      _xlfn.IFS(
        BackEnd!$F$5="Noodles", IF(BackEnd!$E$2=2, "N_%", "N_Count"),
        BackEnd!$F$5="Toothpaste", IF(BackEnd!$E$2=2, "TP_%", "TP_Count"),
        BackEnd!$F$5="Breakfast Cereal", IF(BackEnd!$E$2=2, "BC_%", "BC_Count"),
        BackEnd!$F$5="Bleach", IF(BackEnd!$E$2=2, "BL_%", "BL_Count"),
        BackEnd!$F$5="Edible Oil", IF(BackEnd!$E$2=2, "EO_%", "EO_Count"),
        BackEnd!$F$5="Snacks", IF(BackEnd!$E$2=2, "SK_%", "SK_Count"),
        BackEnd!$F$5="Condiment Mixes", IF(BackEnd!$E$2=2, "CM_%", "CM_Count"),
        BackEnd!$F$5="Wet Hair", IF(BackEnd!$E$2=2, "WH_%", "WH_Count"),
        BackEnd!$F$5="Dry Hair", IF(BackEnd!$E$2=2, "DH_%", "DH_Count"),
        BackEnd!$F$5="Toilet Cleaner", IF(BackEnd!$E$2=2, "TC_%", "TC_Count")
      ) &amp; "'!A:A"
    ),
    0
  ),
  BackEnd!B10
),"")</f>
        <v/>
      </c>
      <c r="D14" s="9" t="e">
        <f>IF(BackEnd!C10="","",BackEnd!C10)</f>
        <v>#REF!</v>
      </c>
    </row>
    <row r="15" spans="3:13" x14ac:dyDescent="0.25">
      <c r="C15" s="8" t="str" cm="1">
        <f t="array" aca="1" ref="C15" ca="1">IFERROR(HYPERLINK(
  "#'" &amp;
  _xlfn.IFS(
    BackEnd!$F$5="Noodles", IF(BackEnd!$E$2=2, "N_%", "N_Count"),
    BackEnd!$F$5="Toothpaste", IF(BackEnd!$E$2=2, "TP_%", "TP_Count"),
    BackEnd!$F$5="Breakfast Cereal", IF(BackEnd!$E$2=2, "BC_%", "BC_Count"),
    BackEnd!$F$5="Bleach", IF(BackEnd!$E$2=2, "BL_%", "BL_Count"),
    BackEnd!$F$5="Edible Oil", IF(BackEnd!$E$2=2, "EO_%", "EO_Count"),
    BackEnd!$F$5="Snacks", IF(BackEnd!$E$2=2, "SK_%", "SK_Count"),
    BackEnd!$F$5="Condiment Mixes", IF(BackEnd!$E$2=2, "CM_%", "CM_Count"),
    BackEnd!$F$5="Wet Hair", IF(BackEnd!$E$2=2, "WH_%", "WH_Count"),
    BackEnd!$F$5="Dry Hair", IF(BackEnd!$E$2=2, "DH_%", "DH_Count"),
    BackEnd!$F$5="Toilet Cleaner", IF(BackEnd!$E$2=2, "TC_%", "TC_Count")
  ) &amp;
  "'!A" &amp;
  MATCH(
    BackEnd!B11,
    INDIRECT("'" &amp;
      _xlfn.IFS(
        BackEnd!$F$5="Noodles", IF(BackEnd!$E$2=2, "N_%", "N_Count"),
        BackEnd!$F$5="Toothpaste", IF(BackEnd!$E$2=2, "TP_%", "TP_Count"),
        BackEnd!$F$5="Breakfast Cereal", IF(BackEnd!$E$2=2, "BC_%", "BC_Count"),
        BackEnd!$F$5="Bleach", IF(BackEnd!$E$2=2, "BL_%", "BL_Count"),
        BackEnd!$F$5="Edible Oil", IF(BackEnd!$E$2=2, "EO_%", "EO_Count"),
        BackEnd!$F$5="Snacks", IF(BackEnd!$E$2=2, "SK_%", "SK_Count"),
        BackEnd!$F$5="Condiment Mixes", IF(BackEnd!$E$2=2, "CM_%", "CM_Count"),
        BackEnd!$F$5="Wet Hair", IF(BackEnd!$E$2=2, "WH_%", "WH_Count"),
        BackEnd!$F$5="Dry Hair", IF(BackEnd!$E$2=2, "DH_%", "DH_Count"),
        BackEnd!$F$5="Toilet Cleaner", IF(BackEnd!$E$2=2, "TC_%", "TC_Count")
      ) &amp; "'!A:A"
    ),
    0
  ),
  BackEnd!B11
),"")</f>
        <v/>
      </c>
      <c r="D15" s="9" t="e">
        <f>IF(BackEnd!C11="","",BackEnd!C11)</f>
        <v>#REF!</v>
      </c>
      <c r="M15" s="10"/>
    </row>
    <row r="16" spans="3:13" x14ac:dyDescent="0.25">
      <c r="C16" s="8" t="str" cm="1">
        <f t="array" aca="1" ref="C16" ca="1">IFERROR(HYPERLINK(
  "#'" &amp;
  _xlfn.IFS(
    BackEnd!$F$5="Noodles", IF(BackEnd!$E$2=2, "N_%", "N_Count"),
    BackEnd!$F$5="Toothpaste", IF(BackEnd!$E$2=2, "TP_%", "TP_Count"),
    BackEnd!$F$5="Breakfast Cereal", IF(BackEnd!$E$2=2, "BC_%", "BC_Count"),
    BackEnd!$F$5="Bleach", IF(BackEnd!$E$2=2, "BL_%", "BL_Count"),
    BackEnd!$F$5="Edible Oil", IF(BackEnd!$E$2=2, "EO_%", "EO_Count"),
    BackEnd!$F$5="Snacks", IF(BackEnd!$E$2=2, "SK_%", "SK_Count"),
    BackEnd!$F$5="Condiment Mixes", IF(BackEnd!$E$2=2, "CM_%", "CM_Count"),
    BackEnd!$F$5="Wet Hair", IF(BackEnd!$E$2=2, "WH_%", "WH_Count"),
    BackEnd!$F$5="Dry Hair", IF(BackEnd!$E$2=2, "DH_%", "DH_Count"),
    BackEnd!$F$5="Toilet Cleaner", IF(BackEnd!$E$2=2, "TC_%", "TC_Count")
  ) &amp;
  "'!A" &amp;
  MATCH(
    BackEnd!B12,
    INDIRECT("'" &amp;
      _xlfn.IFS(
        BackEnd!$F$5="Noodles", IF(BackEnd!$E$2=2, "N_%", "N_Count"),
        BackEnd!$F$5="Toothpaste", IF(BackEnd!$E$2=2, "TP_%", "TP_Count"),
        BackEnd!$F$5="Breakfast Cereal", IF(BackEnd!$E$2=2, "BC_%", "BC_Count"),
        BackEnd!$F$5="Bleach", IF(BackEnd!$E$2=2, "BL_%", "BL_Count"),
        BackEnd!$F$5="Edible Oil", IF(BackEnd!$E$2=2, "EO_%", "EO_Count"),
        BackEnd!$F$5="Snacks", IF(BackEnd!$E$2=2, "SK_%", "SK_Count"),
        BackEnd!$F$5="Condiment Mixes", IF(BackEnd!$E$2=2, "CM_%", "CM_Count"),
        BackEnd!$F$5="Wet Hair", IF(BackEnd!$E$2=2, "WH_%", "WH_Count"),
        BackEnd!$F$5="Dry Hair", IF(BackEnd!$E$2=2, "DH_%", "DH_Count"),
        BackEnd!$F$5="Toilet Cleaner", IF(BackEnd!$E$2=2, "TC_%", "TC_Count")
      ) &amp; "'!A:A"
    ),
    0
  ),
  BackEnd!B12
),"")</f>
        <v/>
      </c>
      <c r="D16" s="9" t="e">
        <f>IF(BackEnd!C12="","",BackEnd!C12)</f>
        <v>#REF!</v>
      </c>
      <c r="I16" s="10"/>
    </row>
    <row r="17" spans="3:9" x14ac:dyDescent="0.25">
      <c r="C17" s="8" t="str" cm="1">
        <f t="array" aca="1" ref="C17" ca="1">IFERROR(HYPERLINK(
  "#'" &amp;
  _xlfn.IFS(
    BackEnd!$F$5="Noodles", IF(BackEnd!$E$2=2, "N_%", "N_Count"),
    BackEnd!$F$5="Toothpaste", IF(BackEnd!$E$2=2, "TP_%", "TP_Count"),
    BackEnd!$F$5="Breakfast Cereal", IF(BackEnd!$E$2=2, "BC_%", "BC_Count"),
    BackEnd!$F$5="Bleach", IF(BackEnd!$E$2=2, "BL_%", "BL_Count"),
    BackEnd!$F$5="Edible Oil", IF(BackEnd!$E$2=2, "EO_%", "EO_Count"),
    BackEnd!$F$5="Snacks", IF(BackEnd!$E$2=2, "SK_%", "SK_Count"),
    BackEnd!$F$5="Condiment Mixes", IF(BackEnd!$E$2=2, "CM_%", "CM_Count"),
    BackEnd!$F$5="Wet Hair", IF(BackEnd!$E$2=2, "WH_%", "WH_Count"),
    BackEnd!$F$5="Dry Hair", IF(BackEnd!$E$2=2, "DH_%", "DH_Count"),
    BackEnd!$F$5="Toilet Cleaner", IF(BackEnd!$E$2=2, "TC_%", "TC_Count")
  ) &amp;
  "'!A" &amp;
  MATCH(
    BackEnd!B13,
    INDIRECT("'" &amp;
      _xlfn.IFS(
        BackEnd!$F$5="Noodles", IF(BackEnd!$E$2=2, "N_%", "N_Count"),
        BackEnd!$F$5="Toothpaste", IF(BackEnd!$E$2=2, "TP_%", "TP_Count"),
        BackEnd!$F$5="Breakfast Cereal", IF(BackEnd!$E$2=2, "BC_%", "BC_Count"),
        BackEnd!$F$5="Bleach", IF(BackEnd!$E$2=2, "BL_%", "BL_Count"),
        BackEnd!$F$5="Edible Oil", IF(BackEnd!$E$2=2, "EO_%", "EO_Count"),
        BackEnd!$F$5="Snacks", IF(BackEnd!$E$2=2, "SK_%", "SK_Count"),
        BackEnd!$F$5="Condiment Mixes", IF(BackEnd!$E$2=2, "CM_%", "CM_Count"),
        BackEnd!$F$5="Wet Hair", IF(BackEnd!$E$2=2, "WH_%", "WH_Count"),
        BackEnd!$F$5="Dry Hair", IF(BackEnd!$E$2=2, "DH_%", "DH_Count"),
        BackEnd!$F$5="Toilet Cleaner", IF(BackEnd!$E$2=2, "TC_%", "TC_Count")
      ) &amp; "'!A:A"
    ),
    0
  ),
  BackEnd!B13
),"")</f>
        <v/>
      </c>
      <c r="D17" s="9" t="e">
        <f>IF(BackEnd!C13="","",BackEnd!C13)</f>
        <v>#REF!</v>
      </c>
      <c r="I17" s="10"/>
    </row>
    <row r="18" spans="3:9" x14ac:dyDescent="0.25">
      <c r="C18" s="8" t="str" cm="1">
        <f t="array" aca="1" ref="C18" ca="1">IFERROR(HYPERLINK(
  "#'" &amp;
  _xlfn.IFS(
    BackEnd!$F$5="Noodles", IF(BackEnd!$E$2=2, "N_%", "N_Count"),
    BackEnd!$F$5="Toothpaste", IF(BackEnd!$E$2=2, "TP_%", "TP_Count"),
    BackEnd!$F$5="Breakfast Cereal", IF(BackEnd!$E$2=2, "BC_%", "BC_Count"),
    BackEnd!$F$5="Bleach", IF(BackEnd!$E$2=2, "BL_%", "BL_Count"),
    BackEnd!$F$5="Edible Oil", IF(BackEnd!$E$2=2, "EO_%", "EO_Count"),
    BackEnd!$F$5="Snacks", IF(BackEnd!$E$2=2, "SK_%", "SK_Count"),
    BackEnd!$F$5="Condiment Mixes", IF(BackEnd!$E$2=2, "CM_%", "CM_Count"),
    BackEnd!$F$5="Wet Hair", IF(BackEnd!$E$2=2, "WH_%", "WH_Count"),
    BackEnd!$F$5="Dry Hair", IF(BackEnd!$E$2=2, "DH_%", "DH_Count"),
    BackEnd!$F$5="Toilet Cleaner", IF(BackEnd!$E$2=2, "TC_%", "TC_Count")
  ) &amp;
  "'!A" &amp;
  MATCH(
    BackEnd!B14,
    INDIRECT("'" &amp;
      _xlfn.IFS(
        BackEnd!$F$5="Noodles", IF(BackEnd!$E$2=2, "N_%", "N_Count"),
        BackEnd!$F$5="Toothpaste", IF(BackEnd!$E$2=2, "TP_%", "TP_Count"),
        BackEnd!$F$5="Breakfast Cereal", IF(BackEnd!$E$2=2, "BC_%", "BC_Count"),
        BackEnd!$F$5="Bleach", IF(BackEnd!$E$2=2, "BL_%", "BL_Count"),
        BackEnd!$F$5="Edible Oil", IF(BackEnd!$E$2=2, "EO_%", "EO_Count"),
        BackEnd!$F$5="Snacks", IF(BackEnd!$E$2=2, "SK_%", "SK_Count"),
        BackEnd!$F$5="Condiment Mixes", IF(BackEnd!$E$2=2, "CM_%", "CM_Count"),
        BackEnd!$F$5="Wet Hair", IF(BackEnd!$E$2=2, "WH_%", "WH_Count"),
        BackEnd!$F$5="Dry Hair", IF(BackEnd!$E$2=2, "DH_%", "DH_Count"),
        BackEnd!$F$5="Toilet Cleaner", IF(BackEnd!$E$2=2, "TC_%", "TC_Count")
      ) &amp; "'!A:A"
    ),
    0
  ),
  BackEnd!B14
),"")</f>
        <v/>
      </c>
      <c r="D18" s="9" t="e">
        <f>IF(BackEnd!C14="","",BackEnd!C14)</f>
        <v>#REF!</v>
      </c>
      <c r="I18" s="10"/>
    </row>
    <row r="19" spans="3:9" x14ac:dyDescent="0.25">
      <c r="C19" s="8" t="str" cm="1">
        <f t="array" aca="1" ref="C19" ca="1">IFERROR(HYPERLINK(
  "#'" &amp;
  _xlfn.IFS(
    BackEnd!$F$5="Noodles", IF(BackEnd!$E$2=2, "N_%", "N_Count"),
    BackEnd!$F$5="Toothpaste", IF(BackEnd!$E$2=2, "TP_%", "TP_Count"),
    BackEnd!$F$5="Breakfast Cereal", IF(BackEnd!$E$2=2, "BC_%", "BC_Count"),
    BackEnd!$F$5="Bleach", IF(BackEnd!$E$2=2, "BL_%", "BL_Count"),
    BackEnd!$F$5="Edible Oil", IF(BackEnd!$E$2=2, "EO_%", "EO_Count"),
    BackEnd!$F$5="Snacks", IF(BackEnd!$E$2=2, "SK_%", "SK_Count"),
    BackEnd!$F$5="Condiment Mixes", IF(BackEnd!$E$2=2, "CM_%", "CM_Count"),
    BackEnd!$F$5="Wet Hair", IF(BackEnd!$E$2=2, "WH_%", "WH_Count"),
    BackEnd!$F$5="Dry Hair", IF(BackEnd!$E$2=2, "DH_%", "DH_Count"),
    BackEnd!$F$5="Toilet Cleaner", IF(BackEnd!$E$2=2, "TC_%", "TC_Count")
  ) &amp;
  "'!A" &amp;
  MATCH(
    BackEnd!B15,
    INDIRECT("'" &amp;
      _xlfn.IFS(
        BackEnd!$F$5="Noodles", IF(BackEnd!$E$2=2, "N_%", "N_Count"),
        BackEnd!$F$5="Toothpaste", IF(BackEnd!$E$2=2, "TP_%", "TP_Count"),
        BackEnd!$F$5="Breakfast Cereal", IF(BackEnd!$E$2=2, "BC_%", "BC_Count"),
        BackEnd!$F$5="Bleach", IF(BackEnd!$E$2=2, "BL_%", "BL_Count"),
        BackEnd!$F$5="Edible Oil", IF(BackEnd!$E$2=2, "EO_%", "EO_Count"),
        BackEnd!$F$5="Snacks", IF(BackEnd!$E$2=2, "SK_%", "SK_Count"),
        BackEnd!$F$5="Condiment Mixes", IF(BackEnd!$E$2=2, "CM_%", "CM_Count"),
        BackEnd!$F$5="Wet Hair", IF(BackEnd!$E$2=2, "WH_%", "WH_Count"),
        BackEnd!$F$5="Dry Hair", IF(BackEnd!$E$2=2, "DH_%", "DH_Count"),
        BackEnd!$F$5="Toilet Cleaner", IF(BackEnd!$E$2=2, "TC_%", "TC_Count")
      ) &amp; "'!A:A"
    ),
    0
  ),
  BackEnd!B15
),"")</f>
        <v/>
      </c>
      <c r="D19" s="9" t="e">
        <f>IF(BackEnd!C15="","",BackEnd!C15)</f>
        <v>#REF!</v>
      </c>
      <c r="I19" s="10"/>
    </row>
    <row r="20" spans="3:9" x14ac:dyDescent="0.25">
      <c r="C20" s="8" t="str" cm="1">
        <f t="array" aca="1" ref="C20" ca="1">IFERROR(HYPERLINK(
  "#'" &amp;
  _xlfn.IFS(
    BackEnd!$F$5="Noodles", IF(BackEnd!$E$2=2, "N_%", "N_Count"),
    BackEnd!$F$5="Toothpaste", IF(BackEnd!$E$2=2, "TP_%", "TP_Count"),
    BackEnd!$F$5="Breakfast Cereal", IF(BackEnd!$E$2=2, "BC_%", "BC_Count"),
    BackEnd!$F$5="Bleach", IF(BackEnd!$E$2=2, "BL_%", "BL_Count"),
    BackEnd!$F$5="Edible Oil", IF(BackEnd!$E$2=2, "EO_%", "EO_Count"),
    BackEnd!$F$5="Snacks", IF(BackEnd!$E$2=2, "SK_%", "SK_Count"),
    BackEnd!$F$5="Condiment Mixes", IF(BackEnd!$E$2=2, "CM_%", "CM_Count"),
    BackEnd!$F$5="Wet Hair", IF(BackEnd!$E$2=2, "WH_%", "WH_Count"),
    BackEnd!$F$5="Dry Hair", IF(BackEnd!$E$2=2, "DH_%", "DH_Count"),
    BackEnd!$F$5="Toilet Cleaner", IF(BackEnd!$E$2=2, "TC_%", "TC_Count")
  ) &amp;
  "'!A" &amp;
  MATCH(
    BackEnd!B16,
    INDIRECT("'" &amp;
      _xlfn.IFS(
        BackEnd!$F$5="Noodles", IF(BackEnd!$E$2=2, "N_%", "N_Count"),
        BackEnd!$F$5="Toothpaste", IF(BackEnd!$E$2=2, "TP_%", "TP_Count"),
        BackEnd!$F$5="Breakfast Cereal", IF(BackEnd!$E$2=2, "BC_%", "BC_Count"),
        BackEnd!$F$5="Bleach", IF(BackEnd!$E$2=2, "BL_%", "BL_Count"),
        BackEnd!$F$5="Edible Oil", IF(BackEnd!$E$2=2, "EO_%", "EO_Count"),
        BackEnd!$F$5="Snacks", IF(BackEnd!$E$2=2, "SK_%", "SK_Count"),
        BackEnd!$F$5="Condiment Mixes", IF(BackEnd!$E$2=2, "CM_%", "CM_Count"),
        BackEnd!$F$5="Wet Hair", IF(BackEnd!$E$2=2, "WH_%", "WH_Count"),
        BackEnd!$F$5="Dry Hair", IF(BackEnd!$E$2=2, "DH_%", "DH_Count"),
        BackEnd!$F$5="Toilet Cleaner", IF(BackEnd!$E$2=2, "TC_%", "TC_Count")
      ) &amp; "'!A:A"
    ),
    0
  ),
  BackEnd!B16
),"")</f>
        <v/>
      </c>
      <c r="D20" s="9" t="e">
        <f>IF(BackEnd!C16="","",BackEnd!C16)</f>
        <v>#REF!</v>
      </c>
      <c r="I20" s="10"/>
    </row>
    <row r="21" spans="3:9" x14ac:dyDescent="0.25">
      <c r="C21" s="8" t="str" cm="1">
        <f t="array" aca="1" ref="C21" ca="1">IFERROR(HYPERLINK(
  "#'" &amp;
  _xlfn.IFS(
    BackEnd!$F$5="Noodles", IF(BackEnd!$E$2=2, "N_%", "N_Count"),
    BackEnd!$F$5="Toothpaste", IF(BackEnd!$E$2=2, "TP_%", "TP_Count"),
    BackEnd!$F$5="Breakfast Cereal", IF(BackEnd!$E$2=2, "BC_%", "BC_Count"),
    BackEnd!$F$5="Bleach", IF(BackEnd!$E$2=2, "BL_%", "BL_Count"),
    BackEnd!$F$5="Edible Oil", IF(BackEnd!$E$2=2, "EO_%", "EO_Count"),
    BackEnd!$F$5="Snacks", IF(BackEnd!$E$2=2, "SK_%", "SK_Count"),
    BackEnd!$F$5="Condiment Mixes", IF(BackEnd!$E$2=2, "CM_%", "CM_Count"),
    BackEnd!$F$5="Wet Hair", IF(BackEnd!$E$2=2, "WH_%", "WH_Count"),
    BackEnd!$F$5="Dry Hair", IF(BackEnd!$E$2=2, "DH_%", "DH_Count"),
    BackEnd!$F$5="Toilet Cleaner", IF(BackEnd!$E$2=2, "TC_%", "TC_Count")
  ) &amp;
  "'!A" &amp;
  MATCH(
    BackEnd!B17,
    INDIRECT("'" &amp;
      _xlfn.IFS(
        BackEnd!$F$5="Noodles", IF(BackEnd!$E$2=2, "N_%", "N_Count"),
        BackEnd!$F$5="Toothpaste", IF(BackEnd!$E$2=2, "TP_%", "TP_Count"),
        BackEnd!$F$5="Breakfast Cereal", IF(BackEnd!$E$2=2, "BC_%", "BC_Count"),
        BackEnd!$F$5="Bleach", IF(BackEnd!$E$2=2, "BL_%", "BL_Count"),
        BackEnd!$F$5="Edible Oil", IF(BackEnd!$E$2=2, "EO_%", "EO_Count"),
        BackEnd!$F$5="Snacks", IF(BackEnd!$E$2=2, "SK_%", "SK_Count"),
        BackEnd!$F$5="Condiment Mixes", IF(BackEnd!$E$2=2, "CM_%", "CM_Count"),
        BackEnd!$F$5="Wet Hair", IF(BackEnd!$E$2=2, "WH_%", "WH_Count"),
        BackEnd!$F$5="Dry Hair", IF(BackEnd!$E$2=2, "DH_%", "DH_Count"),
        BackEnd!$F$5="Toilet Cleaner", IF(BackEnd!$E$2=2, "TC_%", "TC_Count")
      ) &amp; "'!A:A"
    ),
    0
  ),
  BackEnd!B17
),"")</f>
        <v/>
      </c>
      <c r="D21" s="9" t="e">
        <f>IF(BackEnd!C17="","",BackEnd!C17)</f>
        <v>#REF!</v>
      </c>
      <c r="I21" s="10"/>
    </row>
    <row r="22" spans="3:9" x14ac:dyDescent="0.25">
      <c r="C22" s="8" t="str" cm="1">
        <f t="array" aca="1" ref="C22" ca="1">IFERROR(HYPERLINK(
  "#'" &amp;
  _xlfn.IFS(
    BackEnd!$F$5="Noodles", IF(BackEnd!$E$2=2, "N_%", "N_Count"),
    BackEnd!$F$5="Toothpaste", IF(BackEnd!$E$2=2, "TP_%", "TP_Count"),
    BackEnd!$F$5="Breakfast Cereal", IF(BackEnd!$E$2=2, "BC_%", "BC_Count"),
    BackEnd!$F$5="Bleach", IF(BackEnd!$E$2=2, "BL_%", "BL_Count"),
    BackEnd!$F$5="Edible Oil", IF(BackEnd!$E$2=2, "EO_%", "EO_Count"),
    BackEnd!$F$5="Snacks", IF(BackEnd!$E$2=2, "SK_%", "SK_Count"),
    BackEnd!$F$5="Condiment Mixes", IF(BackEnd!$E$2=2, "CM_%", "CM_Count"),
    BackEnd!$F$5="Wet Hair", IF(BackEnd!$E$2=2, "WH_%", "WH_Count"),
    BackEnd!$F$5="Dry Hair", IF(BackEnd!$E$2=2, "DH_%", "DH_Count"),
    BackEnd!$F$5="Toilet Cleaner", IF(BackEnd!$E$2=2, "TC_%", "TC_Count")
  ) &amp;
  "'!A" &amp;
  MATCH(
    BackEnd!B18,
    INDIRECT("'" &amp;
      _xlfn.IFS(
        BackEnd!$F$5="Noodles", IF(BackEnd!$E$2=2, "N_%", "N_Count"),
        BackEnd!$F$5="Toothpaste", IF(BackEnd!$E$2=2, "TP_%", "TP_Count"),
        BackEnd!$F$5="Breakfast Cereal", IF(BackEnd!$E$2=2, "BC_%", "BC_Count"),
        BackEnd!$F$5="Bleach", IF(BackEnd!$E$2=2, "BL_%", "BL_Count"),
        BackEnd!$F$5="Edible Oil", IF(BackEnd!$E$2=2, "EO_%", "EO_Count"),
        BackEnd!$F$5="Snacks", IF(BackEnd!$E$2=2, "SK_%", "SK_Count"),
        BackEnd!$F$5="Condiment Mixes", IF(BackEnd!$E$2=2, "CM_%", "CM_Count"),
        BackEnd!$F$5="Wet Hair", IF(BackEnd!$E$2=2, "WH_%", "WH_Count"),
        BackEnd!$F$5="Dry Hair", IF(BackEnd!$E$2=2, "DH_%", "DH_Count"),
        BackEnd!$F$5="Toilet Cleaner", IF(BackEnd!$E$2=2, "TC_%", "TC_Count")
      ) &amp; "'!A:A"
    ),
    0
  ),
  BackEnd!B18
),"")</f>
        <v/>
      </c>
      <c r="D22" s="9" t="e">
        <f>IF(BackEnd!C18="","",BackEnd!C18)</f>
        <v>#REF!</v>
      </c>
      <c r="I22" s="10"/>
    </row>
    <row r="23" spans="3:9" x14ac:dyDescent="0.25">
      <c r="C23" s="8" t="str" cm="1">
        <f t="array" aca="1" ref="C23" ca="1">IFERROR(HYPERLINK(
  "#'" &amp;
  _xlfn.IFS(
    BackEnd!$F$5="Noodles", IF(BackEnd!$E$2=2, "N_%", "N_Count"),
    BackEnd!$F$5="Toothpaste", IF(BackEnd!$E$2=2, "TP_%", "TP_Count"),
    BackEnd!$F$5="Breakfast Cereal", IF(BackEnd!$E$2=2, "BC_%", "BC_Count"),
    BackEnd!$F$5="Bleach", IF(BackEnd!$E$2=2, "BL_%", "BL_Count"),
    BackEnd!$F$5="Edible Oil", IF(BackEnd!$E$2=2, "EO_%", "EO_Count"),
    BackEnd!$F$5="Snacks", IF(BackEnd!$E$2=2, "SK_%", "SK_Count"),
    BackEnd!$F$5="Condiment Mixes", IF(BackEnd!$E$2=2, "CM_%", "CM_Count"),
    BackEnd!$F$5="Wet Hair", IF(BackEnd!$E$2=2, "WH_%", "WH_Count"),
    BackEnd!$F$5="Dry Hair", IF(BackEnd!$E$2=2, "DH_%", "DH_Count"),
    BackEnd!$F$5="Toilet Cleaner", IF(BackEnd!$E$2=2, "TC_%", "TC_Count")
  ) &amp;
  "'!A" &amp;
  MATCH(
    BackEnd!B19,
    INDIRECT("'" &amp;
      _xlfn.IFS(
        BackEnd!$F$5="Noodles", IF(BackEnd!$E$2=2, "N_%", "N_Count"),
        BackEnd!$F$5="Toothpaste", IF(BackEnd!$E$2=2, "TP_%", "TP_Count"),
        BackEnd!$F$5="Breakfast Cereal", IF(BackEnd!$E$2=2, "BC_%", "BC_Count"),
        BackEnd!$F$5="Bleach", IF(BackEnd!$E$2=2, "BL_%", "BL_Count"),
        BackEnd!$F$5="Edible Oil", IF(BackEnd!$E$2=2, "EO_%", "EO_Count"),
        BackEnd!$F$5="Snacks", IF(BackEnd!$E$2=2, "SK_%", "SK_Count"),
        BackEnd!$F$5="Condiment Mixes", IF(BackEnd!$E$2=2, "CM_%", "CM_Count"),
        BackEnd!$F$5="Wet Hair", IF(BackEnd!$E$2=2, "WH_%", "WH_Count"),
        BackEnd!$F$5="Dry Hair", IF(BackEnd!$E$2=2, "DH_%", "DH_Count"),
        BackEnd!$F$5="Toilet Cleaner", IF(BackEnd!$E$2=2, "TC_%", "TC_Count")
      ) &amp; "'!A:A"
    ),
    0
  ),
  BackEnd!B19
),"")</f>
        <v/>
      </c>
      <c r="D23" s="9" t="e">
        <f>IF(BackEnd!C19="","",BackEnd!C19)</f>
        <v>#REF!</v>
      </c>
      <c r="I23" s="10"/>
    </row>
    <row r="24" spans="3:9" x14ac:dyDescent="0.25">
      <c r="C24" s="8" t="str" cm="1">
        <f t="array" aca="1" ref="C24" ca="1">IFERROR(HYPERLINK(
  "#'" &amp;
  _xlfn.IFS(
    BackEnd!$F$5="Noodles", IF(BackEnd!$E$2=2, "N_%", "N_Count"),
    BackEnd!$F$5="Toothpaste", IF(BackEnd!$E$2=2, "TP_%", "TP_Count"),
    BackEnd!$F$5="Breakfast Cereal", IF(BackEnd!$E$2=2, "BC_%", "BC_Count"),
    BackEnd!$F$5="Bleach", IF(BackEnd!$E$2=2, "BL_%", "BL_Count"),
    BackEnd!$F$5="Edible Oil", IF(BackEnd!$E$2=2, "EO_%", "EO_Count"),
    BackEnd!$F$5="Snacks", IF(BackEnd!$E$2=2, "SK_%", "SK_Count"),
    BackEnd!$F$5="Condiment Mixes", IF(BackEnd!$E$2=2, "CM_%", "CM_Count"),
    BackEnd!$F$5="Wet Hair", IF(BackEnd!$E$2=2, "WH_%", "WH_Count"),
    BackEnd!$F$5="Dry Hair", IF(BackEnd!$E$2=2, "DH_%", "DH_Count"),
    BackEnd!$F$5="Toilet Cleaner", IF(BackEnd!$E$2=2, "TC_%", "TC_Count")
  ) &amp;
  "'!A" &amp;
  MATCH(
    BackEnd!B20,
    INDIRECT("'" &amp;
      _xlfn.IFS(
        BackEnd!$F$5="Noodles", IF(BackEnd!$E$2=2, "N_%", "N_Count"),
        BackEnd!$F$5="Toothpaste", IF(BackEnd!$E$2=2, "TP_%", "TP_Count"),
        BackEnd!$F$5="Breakfast Cereal", IF(BackEnd!$E$2=2, "BC_%", "BC_Count"),
        BackEnd!$F$5="Bleach", IF(BackEnd!$E$2=2, "BL_%", "BL_Count"),
        BackEnd!$F$5="Edible Oil", IF(BackEnd!$E$2=2, "EO_%", "EO_Count"),
        BackEnd!$F$5="Snacks", IF(BackEnd!$E$2=2, "SK_%", "SK_Count"),
        BackEnd!$F$5="Condiment Mixes", IF(BackEnd!$E$2=2, "CM_%", "CM_Count"),
        BackEnd!$F$5="Wet Hair", IF(BackEnd!$E$2=2, "WH_%", "WH_Count"),
        BackEnd!$F$5="Dry Hair", IF(BackEnd!$E$2=2, "DH_%", "DH_Count"),
        BackEnd!$F$5="Toilet Cleaner", IF(BackEnd!$E$2=2, "TC_%", "TC_Count")
      ) &amp; "'!A:A"
    ),
    0
  ),
  BackEnd!B20
),"")</f>
        <v/>
      </c>
      <c r="D24" s="9" t="e">
        <f>IF(BackEnd!C20="","",BackEnd!C20)</f>
        <v>#REF!</v>
      </c>
      <c r="I24" s="10"/>
    </row>
    <row r="25" spans="3:9" x14ac:dyDescent="0.25">
      <c r="C25" s="8" t="str" cm="1">
        <f t="array" aca="1" ref="C25" ca="1">IFERROR(HYPERLINK(
  "#'" &amp;
  _xlfn.IFS(
    BackEnd!$F$5="Noodles", IF(BackEnd!$E$2=2, "N_%", "N_Count"),
    BackEnd!$F$5="Toothpaste", IF(BackEnd!$E$2=2, "TP_%", "TP_Count"),
    BackEnd!$F$5="Breakfast Cereal", IF(BackEnd!$E$2=2, "BC_%", "BC_Count"),
    BackEnd!$F$5="Bleach", IF(BackEnd!$E$2=2, "BL_%", "BL_Count"),
    BackEnd!$F$5="Edible Oil", IF(BackEnd!$E$2=2, "EO_%", "EO_Count"),
    BackEnd!$F$5="Snacks", IF(BackEnd!$E$2=2, "SK_%", "SK_Count"),
    BackEnd!$F$5="Condiment Mixes", IF(BackEnd!$E$2=2, "CM_%", "CM_Count"),
    BackEnd!$F$5="Wet Hair", IF(BackEnd!$E$2=2, "WH_%", "WH_Count"),
    BackEnd!$F$5="Dry Hair", IF(BackEnd!$E$2=2, "DH_%", "DH_Count"),
    BackEnd!$F$5="Toilet Cleaner", IF(BackEnd!$E$2=2, "TC_%", "TC_Count")
  ) &amp;
  "'!A" &amp;
  MATCH(
    BackEnd!B21,
    INDIRECT("'" &amp;
      _xlfn.IFS(
        BackEnd!$F$5="Noodles", IF(BackEnd!$E$2=2, "N_%", "N_Count"),
        BackEnd!$F$5="Toothpaste", IF(BackEnd!$E$2=2, "TP_%", "TP_Count"),
        BackEnd!$F$5="Breakfast Cereal", IF(BackEnd!$E$2=2, "BC_%", "BC_Count"),
        BackEnd!$F$5="Bleach", IF(BackEnd!$E$2=2, "BL_%", "BL_Count"),
        BackEnd!$F$5="Edible Oil", IF(BackEnd!$E$2=2, "EO_%", "EO_Count"),
        BackEnd!$F$5="Snacks", IF(BackEnd!$E$2=2, "SK_%", "SK_Count"),
        BackEnd!$F$5="Condiment Mixes", IF(BackEnd!$E$2=2, "CM_%", "CM_Count"),
        BackEnd!$F$5="Wet Hair", IF(BackEnd!$E$2=2, "WH_%", "WH_Count"),
        BackEnd!$F$5="Dry Hair", IF(BackEnd!$E$2=2, "DH_%", "DH_Count"),
        BackEnd!$F$5="Toilet Cleaner", IF(BackEnd!$E$2=2, "TC_%", "TC_Count")
      ) &amp; "'!A:A"
    ),
    0
  ),
  BackEnd!B21
),"")</f>
        <v/>
      </c>
      <c r="D25" s="9" t="e">
        <f>IF(BackEnd!C21="","",BackEnd!C21)</f>
        <v>#REF!</v>
      </c>
      <c r="I25" s="10"/>
    </row>
    <row r="26" spans="3:9" x14ac:dyDescent="0.25">
      <c r="C26" s="8" t="str" cm="1">
        <f t="array" aca="1" ref="C26" ca="1">IFERROR(HYPERLINK(
  "#'" &amp;
  _xlfn.IFS(
    BackEnd!$F$5="Noodles", IF(BackEnd!$E$2=2, "N_%", "N_Count"),
    BackEnd!$F$5="Toothpaste", IF(BackEnd!$E$2=2, "TP_%", "TP_Count"),
    BackEnd!$F$5="Breakfast Cereal", IF(BackEnd!$E$2=2, "BC_%", "BC_Count"),
    BackEnd!$F$5="Bleach", IF(BackEnd!$E$2=2, "BL_%", "BL_Count"),
    BackEnd!$F$5="Edible Oil", IF(BackEnd!$E$2=2, "EO_%", "EO_Count"),
    BackEnd!$F$5="Snacks", IF(BackEnd!$E$2=2, "SK_%", "SK_Count"),
    BackEnd!$F$5="Condiment Mixes", IF(BackEnd!$E$2=2, "CM_%", "CM_Count"),
    BackEnd!$F$5="Wet Hair", IF(BackEnd!$E$2=2, "WH_%", "WH_Count"),
    BackEnd!$F$5="Dry Hair", IF(BackEnd!$E$2=2, "DH_%", "DH_Count"),
    BackEnd!$F$5="Toilet Cleaner", IF(BackEnd!$E$2=2, "TC_%", "TC_Count")
  ) &amp;
  "'!A" &amp;
  MATCH(
    BackEnd!B22,
    INDIRECT("'" &amp;
      _xlfn.IFS(
        BackEnd!$F$5="Noodles", IF(BackEnd!$E$2=2, "N_%", "N_Count"),
        BackEnd!$F$5="Toothpaste", IF(BackEnd!$E$2=2, "TP_%", "TP_Count"),
        BackEnd!$F$5="Breakfast Cereal", IF(BackEnd!$E$2=2, "BC_%", "BC_Count"),
        BackEnd!$F$5="Bleach", IF(BackEnd!$E$2=2, "BL_%", "BL_Count"),
        BackEnd!$F$5="Edible Oil", IF(BackEnd!$E$2=2, "EO_%", "EO_Count"),
        BackEnd!$F$5="Snacks", IF(BackEnd!$E$2=2, "SK_%", "SK_Count"),
        BackEnd!$F$5="Condiment Mixes", IF(BackEnd!$E$2=2, "CM_%", "CM_Count"),
        BackEnd!$F$5="Wet Hair", IF(BackEnd!$E$2=2, "WH_%", "WH_Count"),
        BackEnd!$F$5="Dry Hair", IF(BackEnd!$E$2=2, "DH_%", "DH_Count"),
        BackEnd!$F$5="Toilet Cleaner", IF(BackEnd!$E$2=2, "TC_%", "TC_Count")
      ) &amp; "'!A:A"
    ),
    0
  ),
  BackEnd!B22
),"")</f>
        <v/>
      </c>
      <c r="D26" s="9" t="e">
        <f>IF(BackEnd!C22="","",BackEnd!C22)</f>
        <v>#REF!</v>
      </c>
      <c r="I26" s="10"/>
    </row>
    <row r="27" spans="3:9" x14ac:dyDescent="0.25">
      <c r="C27" s="8" t="str" cm="1">
        <f t="array" aca="1" ref="C27" ca="1">IFERROR(HYPERLINK(
  "#'" &amp;
  _xlfn.IFS(
    BackEnd!$F$5="Noodles", IF(BackEnd!$E$2=2, "N_%", "N_Count"),
    BackEnd!$F$5="Toothpaste", IF(BackEnd!$E$2=2, "TP_%", "TP_Count"),
    BackEnd!$F$5="Breakfast Cereal", IF(BackEnd!$E$2=2, "BC_%", "BC_Count"),
    BackEnd!$F$5="Bleach", IF(BackEnd!$E$2=2, "BL_%", "BL_Count"),
    BackEnd!$F$5="Edible Oil", IF(BackEnd!$E$2=2, "EO_%", "EO_Count"),
    BackEnd!$F$5="Snacks", IF(BackEnd!$E$2=2, "SK_%", "SK_Count"),
    BackEnd!$F$5="Condiment Mixes", IF(BackEnd!$E$2=2, "CM_%", "CM_Count"),
    BackEnd!$F$5="Wet Hair", IF(BackEnd!$E$2=2, "WH_%", "WH_Count"),
    BackEnd!$F$5="Dry Hair", IF(BackEnd!$E$2=2, "DH_%", "DH_Count"),
    BackEnd!$F$5="Toilet Cleaner", IF(BackEnd!$E$2=2, "TC_%", "TC_Count")
  ) &amp;
  "'!A" &amp;
  MATCH(
    BackEnd!B23,
    INDIRECT("'" &amp;
      _xlfn.IFS(
        BackEnd!$F$5="Noodles", IF(BackEnd!$E$2=2, "N_%", "N_Count"),
        BackEnd!$F$5="Toothpaste", IF(BackEnd!$E$2=2, "TP_%", "TP_Count"),
        BackEnd!$F$5="Breakfast Cereal", IF(BackEnd!$E$2=2, "BC_%", "BC_Count"),
        BackEnd!$F$5="Bleach", IF(BackEnd!$E$2=2, "BL_%", "BL_Count"),
        BackEnd!$F$5="Edible Oil", IF(BackEnd!$E$2=2, "EO_%", "EO_Count"),
        BackEnd!$F$5="Snacks", IF(BackEnd!$E$2=2, "SK_%", "SK_Count"),
        BackEnd!$F$5="Condiment Mixes", IF(BackEnd!$E$2=2, "CM_%", "CM_Count"),
        BackEnd!$F$5="Wet Hair", IF(BackEnd!$E$2=2, "WH_%", "WH_Count"),
        BackEnd!$F$5="Dry Hair", IF(BackEnd!$E$2=2, "DH_%", "DH_Count"),
        BackEnd!$F$5="Toilet Cleaner", IF(BackEnd!$E$2=2, "TC_%", "TC_Count")
      ) &amp; "'!A:A"
    ),
    0
  ),
  BackEnd!B23
),"")</f>
        <v/>
      </c>
      <c r="D27" s="9" t="e">
        <f>IF(BackEnd!C23="","",BackEnd!C23)</f>
        <v>#REF!</v>
      </c>
      <c r="I27" s="10"/>
    </row>
    <row r="28" spans="3:9" x14ac:dyDescent="0.25">
      <c r="C28" s="8" t="str" cm="1">
        <f t="array" aca="1" ref="C28" ca="1">IFERROR(HYPERLINK(
  "#'" &amp;
  _xlfn.IFS(
    BackEnd!$F$5="Noodles", IF(BackEnd!$E$2=2, "N_%", "N_Count"),
    BackEnd!$F$5="Toothpaste", IF(BackEnd!$E$2=2, "TP_%", "TP_Count"),
    BackEnd!$F$5="Breakfast Cereal", IF(BackEnd!$E$2=2, "BC_%", "BC_Count"),
    BackEnd!$F$5="Bleach", IF(BackEnd!$E$2=2, "BL_%", "BL_Count"),
    BackEnd!$F$5="Edible Oil", IF(BackEnd!$E$2=2, "EO_%", "EO_Count"),
    BackEnd!$F$5="Snacks", IF(BackEnd!$E$2=2, "SK_%", "SK_Count"),
    BackEnd!$F$5="Condiment Mixes", IF(BackEnd!$E$2=2, "CM_%", "CM_Count"),
    BackEnd!$F$5="Wet Hair", IF(BackEnd!$E$2=2, "WH_%", "WH_Count"),
    BackEnd!$F$5="Dry Hair", IF(BackEnd!$E$2=2, "DH_%", "DH_Count"),
    BackEnd!$F$5="Toilet Cleaner", IF(BackEnd!$E$2=2, "TC_%", "TC_Count")
  ) &amp;
  "'!A" &amp;
  MATCH(
    BackEnd!B24,
    INDIRECT("'" &amp;
      _xlfn.IFS(
        BackEnd!$F$5="Noodles", IF(BackEnd!$E$2=2, "N_%", "N_Count"),
        BackEnd!$F$5="Toothpaste", IF(BackEnd!$E$2=2, "TP_%", "TP_Count"),
        BackEnd!$F$5="Breakfast Cereal", IF(BackEnd!$E$2=2, "BC_%", "BC_Count"),
        BackEnd!$F$5="Bleach", IF(BackEnd!$E$2=2, "BL_%", "BL_Count"),
        BackEnd!$F$5="Edible Oil", IF(BackEnd!$E$2=2, "EO_%", "EO_Count"),
        BackEnd!$F$5="Snacks", IF(BackEnd!$E$2=2, "SK_%", "SK_Count"),
        BackEnd!$F$5="Condiment Mixes", IF(BackEnd!$E$2=2, "CM_%", "CM_Count"),
        BackEnd!$F$5="Wet Hair", IF(BackEnd!$E$2=2, "WH_%", "WH_Count"),
        BackEnd!$F$5="Dry Hair", IF(BackEnd!$E$2=2, "DH_%", "DH_Count"),
        BackEnd!$F$5="Toilet Cleaner", IF(BackEnd!$E$2=2, "TC_%", "TC_Count")
      ) &amp; "'!A:A"
    ),
    0
  ),
  BackEnd!B24
),"")</f>
        <v/>
      </c>
      <c r="D28" s="9" t="e">
        <f>IF(BackEnd!C24="","",BackEnd!C24)</f>
        <v>#REF!</v>
      </c>
      <c r="I28" s="10"/>
    </row>
    <row r="29" spans="3:9" x14ac:dyDescent="0.25">
      <c r="C29" s="8" t="str" cm="1">
        <f t="array" aca="1" ref="C29" ca="1">IFERROR(HYPERLINK(
  "#'" &amp;
  _xlfn.IFS(
    BackEnd!$F$5="Noodles", IF(BackEnd!$E$2=2, "N_%", "N_Count"),
    BackEnd!$F$5="Toothpaste", IF(BackEnd!$E$2=2, "TP_%", "TP_Count"),
    BackEnd!$F$5="Breakfast Cereal", IF(BackEnd!$E$2=2, "BC_%", "BC_Count"),
    BackEnd!$F$5="Bleach", IF(BackEnd!$E$2=2, "BL_%", "BL_Count"),
    BackEnd!$F$5="Edible Oil", IF(BackEnd!$E$2=2, "EO_%", "EO_Count"),
    BackEnd!$F$5="Snacks", IF(BackEnd!$E$2=2, "SK_%", "SK_Count"),
    BackEnd!$F$5="Condiment Mixes", IF(BackEnd!$E$2=2, "CM_%", "CM_Count"),
    BackEnd!$F$5="Wet Hair", IF(BackEnd!$E$2=2, "WH_%", "WH_Count"),
    BackEnd!$F$5="Dry Hair", IF(BackEnd!$E$2=2, "DH_%", "DH_Count"),
    BackEnd!$F$5="Toilet Cleaner", IF(BackEnd!$E$2=2, "TC_%", "TC_Count")
  ) &amp;
  "'!A" &amp;
  MATCH(
    BackEnd!B25,
    INDIRECT("'" &amp;
      _xlfn.IFS(
        BackEnd!$F$5="Noodles", IF(BackEnd!$E$2=2, "N_%", "N_Count"),
        BackEnd!$F$5="Toothpaste", IF(BackEnd!$E$2=2, "TP_%", "TP_Count"),
        BackEnd!$F$5="Breakfast Cereal", IF(BackEnd!$E$2=2, "BC_%", "BC_Count"),
        BackEnd!$F$5="Bleach", IF(BackEnd!$E$2=2, "BL_%", "BL_Count"),
        BackEnd!$F$5="Edible Oil", IF(BackEnd!$E$2=2, "EO_%", "EO_Count"),
        BackEnd!$F$5="Snacks", IF(BackEnd!$E$2=2, "SK_%", "SK_Count"),
        BackEnd!$F$5="Condiment Mixes", IF(BackEnd!$E$2=2, "CM_%", "CM_Count"),
        BackEnd!$F$5="Wet Hair", IF(BackEnd!$E$2=2, "WH_%", "WH_Count"),
        BackEnd!$F$5="Dry Hair", IF(BackEnd!$E$2=2, "DH_%", "DH_Count"),
        BackEnd!$F$5="Toilet Cleaner", IF(BackEnd!$E$2=2, "TC_%", "TC_Count")
      ) &amp; "'!A:A"
    ),
    0
  ),
  BackEnd!B25
),"")</f>
        <v/>
      </c>
      <c r="D29" s="9" t="e">
        <f>IF(BackEnd!C25="","",BackEnd!C25)</f>
        <v>#REF!</v>
      </c>
      <c r="I29" s="10"/>
    </row>
    <row r="30" spans="3:9" x14ac:dyDescent="0.25">
      <c r="C30" s="8" t="str" cm="1">
        <f t="array" aca="1" ref="C30" ca="1">IFERROR(HYPERLINK(
  "#'" &amp;
  _xlfn.IFS(
    BackEnd!$F$5="Noodles", IF(BackEnd!$E$2=2, "N_%", "N_Count"),
    BackEnd!$F$5="Toothpaste", IF(BackEnd!$E$2=2, "TP_%", "TP_Count"),
    BackEnd!$F$5="Breakfast Cereal", IF(BackEnd!$E$2=2, "BC_%", "BC_Count"),
    BackEnd!$F$5="Bleach", IF(BackEnd!$E$2=2, "BL_%", "BL_Count"),
    BackEnd!$F$5="Edible Oil", IF(BackEnd!$E$2=2, "EO_%", "EO_Count"),
    BackEnd!$F$5="Snacks", IF(BackEnd!$E$2=2, "SK_%", "SK_Count"),
    BackEnd!$F$5="Condiment Mixes", IF(BackEnd!$E$2=2, "CM_%", "CM_Count"),
    BackEnd!$F$5="Wet Hair", IF(BackEnd!$E$2=2, "WH_%", "WH_Count"),
    BackEnd!$F$5="Dry Hair", IF(BackEnd!$E$2=2, "DH_%", "DH_Count"),
    BackEnd!$F$5="Toilet Cleaner", IF(BackEnd!$E$2=2, "TC_%", "TC_Count")
  ) &amp;
  "'!A" &amp;
  MATCH(
    BackEnd!B26,
    INDIRECT("'" &amp;
      _xlfn.IFS(
        BackEnd!$F$5="Noodles", IF(BackEnd!$E$2=2, "N_%", "N_Count"),
        BackEnd!$F$5="Toothpaste", IF(BackEnd!$E$2=2, "TP_%", "TP_Count"),
        BackEnd!$F$5="Breakfast Cereal", IF(BackEnd!$E$2=2, "BC_%", "BC_Count"),
        BackEnd!$F$5="Bleach", IF(BackEnd!$E$2=2, "BL_%", "BL_Count"),
        BackEnd!$F$5="Edible Oil", IF(BackEnd!$E$2=2, "EO_%", "EO_Count"),
        BackEnd!$F$5="Snacks", IF(BackEnd!$E$2=2, "SK_%", "SK_Count"),
        BackEnd!$F$5="Condiment Mixes", IF(BackEnd!$E$2=2, "CM_%", "CM_Count"),
        BackEnd!$F$5="Wet Hair", IF(BackEnd!$E$2=2, "WH_%", "WH_Count"),
        BackEnd!$F$5="Dry Hair", IF(BackEnd!$E$2=2, "DH_%", "DH_Count"),
        BackEnd!$F$5="Toilet Cleaner", IF(BackEnd!$E$2=2, "TC_%", "TC_Count")
      ) &amp; "'!A:A"
    ),
    0
  ),
  BackEnd!B26
),"")</f>
        <v/>
      </c>
      <c r="D30" s="9" t="e">
        <f>IF(BackEnd!C26="","",BackEnd!C26)</f>
        <v>#REF!</v>
      </c>
      <c r="I30" s="10"/>
    </row>
    <row r="31" spans="3:9" x14ac:dyDescent="0.25">
      <c r="C31" s="8" t="str" cm="1">
        <f t="array" aca="1" ref="C31" ca="1">IFERROR(HYPERLINK(
  "#'" &amp;
  _xlfn.IFS(
    BackEnd!$F$5="Noodles", IF(BackEnd!$E$2=2, "N_%", "N_Count"),
    BackEnd!$F$5="Toothpaste", IF(BackEnd!$E$2=2, "TP_%", "TP_Count"),
    BackEnd!$F$5="Breakfast Cereal", IF(BackEnd!$E$2=2, "BC_%", "BC_Count"),
    BackEnd!$F$5="Bleach", IF(BackEnd!$E$2=2, "BL_%", "BL_Count"),
    BackEnd!$F$5="Edible Oil", IF(BackEnd!$E$2=2, "EO_%", "EO_Count"),
    BackEnd!$F$5="Snacks", IF(BackEnd!$E$2=2, "SK_%", "SK_Count"),
    BackEnd!$F$5="Condiment Mixes", IF(BackEnd!$E$2=2, "CM_%", "CM_Count"),
    BackEnd!$F$5="Wet Hair", IF(BackEnd!$E$2=2, "WH_%", "WH_Count"),
    BackEnd!$F$5="Dry Hair", IF(BackEnd!$E$2=2, "DH_%", "DH_Count"),
    BackEnd!$F$5="Toilet Cleaner", IF(BackEnd!$E$2=2, "TC_%", "TC_Count")
  ) &amp;
  "'!A" &amp;
  MATCH(
    BackEnd!B27,
    INDIRECT("'" &amp;
      _xlfn.IFS(
        BackEnd!$F$5="Noodles", IF(BackEnd!$E$2=2, "N_%", "N_Count"),
        BackEnd!$F$5="Toothpaste", IF(BackEnd!$E$2=2, "TP_%", "TP_Count"),
        BackEnd!$F$5="Breakfast Cereal", IF(BackEnd!$E$2=2, "BC_%", "BC_Count"),
        BackEnd!$F$5="Bleach", IF(BackEnd!$E$2=2, "BL_%", "BL_Count"),
        BackEnd!$F$5="Edible Oil", IF(BackEnd!$E$2=2, "EO_%", "EO_Count"),
        BackEnd!$F$5="Snacks", IF(BackEnd!$E$2=2, "SK_%", "SK_Count"),
        BackEnd!$F$5="Condiment Mixes", IF(BackEnd!$E$2=2, "CM_%", "CM_Count"),
        BackEnd!$F$5="Wet Hair", IF(BackEnd!$E$2=2, "WH_%", "WH_Count"),
        BackEnd!$F$5="Dry Hair", IF(BackEnd!$E$2=2, "DH_%", "DH_Count"),
        BackEnd!$F$5="Toilet Cleaner", IF(BackEnd!$E$2=2, "TC_%", "TC_Count")
      ) &amp; "'!A:A"
    ),
    0
  ),
  BackEnd!B27
),"")</f>
        <v/>
      </c>
      <c r="D31" s="9" t="e">
        <f>IF(BackEnd!C27="","",BackEnd!C27)</f>
        <v>#REF!</v>
      </c>
      <c r="I31" s="10"/>
    </row>
    <row r="32" spans="3:9" x14ac:dyDescent="0.25">
      <c r="C32" s="8" t="str" cm="1">
        <f t="array" aca="1" ref="C32" ca="1">IFERROR(HYPERLINK(
  "#'" &amp;
  _xlfn.IFS(
    BackEnd!$F$5="Noodles", IF(BackEnd!$E$2=2, "N_%", "N_Count"),
    BackEnd!$F$5="Toothpaste", IF(BackEnd!$E$2=2, "TP_%", "TP_Count"),
    BackEnd!$F$5="Breakfast Cereal", IF(BackEnd!$E$2=2, "BC_%", "BC_Count"),
    BackEnd!$F$5="Bleach", IF(BackEnd!$E$2=2, "BL_%", "BL_Count"),
    BackEnd!$F$5="Edible Oil", IF(BackEnd!$E$2=2, "EO_%", "EO_Count"),
    BackEnd!$F$5="Snacks", IF(BackEnd!$E$2=2, "SK_%", "SK_Count"),
    BackEnd!$F$5="Condiment Mixes", IF(BackEnd!$E$2=2, "CM_%", "CM_Count"),
    BackEnd!$F$5="Wet Hair", IF(BackEnd!$E$2=2, "WH_%", "WH_Count"),
    BackEnd!$F$5="Dry Hair", IF(BackEnd!$E$2=2, "DH_%", "DH_Count"),
    BackEnd!$F$5="Toilet Cleaner", IF(BackEnd!$E$2=2, "TC_%", "TC_Count")
  ) &amp;
  "'!A" &amp;
  MATCH(
    BackEnd!B28,
    INDIRECT("'" &amp;
      _xlfn.IFS(
        BackEnd!$F$5="Noodles", IF(BackEnd!$E$2=2, "N_%", "N_Count"),
        BackEnd!$F$5="Toothpaste", IF(BackEnd!$E$2=2, "TP_%", "TP_Count"),
        BackEnd!$F$5="Breakfast Cereal", IF(BackEnd!$E$2=2, "BC_%", "BC_Count"),
        BackEnd!$F$5="Bleach", IF(BackEnd!$E$2=2, "BL_%", "BL_Count"),
        BackEnd!$F$5="Edible Oil", IF(BackEnd!$E$2=2, "EO_%", "EO_Count"),
        BackEnd!$F$5="Snacks", IF(BackEnd!$E$2=2, "SK_%", "SK_Count"),
        BackEnd!$F$5="Condiment Mixes", IF(BackEnd!$E$2=2, "CM_%", "CM_Count"),
        BackEnd!$F$5="Wet Hair", IF(BackEnd!$E$2=2, "WH_%", "WH_Count"),
        BackEnd!$F$5="Dry Hair", IF(BackEnd!$E$2=2, "DH_%", "DH_Count"),
        BackEnd!$F$5="Toilet Cleaner", IF(BackEnd!$E$2=2, "TC_%", "TC_Count")
      ) &amp; "'!A:A"
    ),
    0
  ),
  BackEnd!B28
),"")</f>
        <v/>
      </c>
      <c r="D32" s="9" t="e">
        <f>IF(BackEnd!C28="","",BackEnd!C28)</f>
        <v>#REF!</v>
      </c>
      <c r="I32" s="10"/>
    </row>
    <row r="33" spans="3:10" x14ac:dyDescent="0.25">
      <c r="C33" s="8" t="str" cm="1">
        <f t="array" aca="1" ref="C33" ca="1">IFERROR(HYPERLINK(
  "#'" &amp;
  _xlfn.IFS(
    BackEnd!$F$5="Noodles", IF(BackEnd!$E$2=2, "N_%", "N_Count"),
    BackEnd!$F$5="Toothpaste", IF(BackEnd!$E$2=2, "TP_%", "TP_Count"),
    BackEnd!$F$5="Breakfast Cereal", IF(BackEnd!$E$2=2, "BC_%", "BC_Count"),
    BackEnd!$F$5="Bleach", IF(BackEnd!$E$2=2, "BL_%", "BL_Count"),
    BackEnd!$F$5="Edible Oil", IF(BackEnd!$E$2=2, "EO_%", "EO_Count"),
    BackEnd!$F$5="Snacks", IF(BackEnd!$E$2=2, "SK_%", "SK_Count"),
    BackEnd!$F$5="Condiment Mixes", IF(BackEnd!$E$2=2, "CM_%", "CM_Count"),
    BackEnd!$F$5="Wet Hair", IF(BackEnd!$E$2=2, "WH_%", "WH_Count"),
    BackEnd!$F$5="Dry Hair", IF(BackEnd!$E$2=2, "DH_%", "DH_Count"),
    BackEnd!$F$5="Toilet Cleaner", IF(BackEnd!$E$2=2, "TC_%", "TC_Count")
  ) &amp;
  "'!A" &amp;
  MATCH(
    BackEnd!B29,
    INDIRECT("'" &amp;
      _xlfn.IFS(
        BackEnd!$F$5="Noodles", IF(BackEnd!$E$2=2, "N_%", "N_Count"),
        BackEnd!$F$5="Toothpaste", IF(BackEnd!$E$2=2, "TP_%", "TP_Count"),
        BackEnd!$F$5="Breakfast Cereal", IF(BackEnd!$E$2=2, "BC_%", "BC_Count"),
        BackEnd!$F$5="Bleach", IF(BackEnd!$E$2=2, "BL_%", "BL_Count"),
        BackEnd!$F$5="Edible Oil", IF(BackEnd!$E$2=2, "EO_%", "EO_Count"),
        BackEnd!$F$5="Snacks", IF(BackEnd!$E$2=2, "SK_%", "SK_Count"),
        BackEnd!$F$5="Condiment Mixes", IF(BackEnd!$E$2=2, "CM_%", "CM_Count"),
        BackEnd!$F$5="Wet Hair", IF(BackEnd!$E$2=2, "WH_%", "WH_Count"),
        BackEnd!$F$5="Dry Hair", IF(BackEnd!$E$2=2, "DH_%", "DH_Count"),
        BackEnd!$F$5="Toilet Cleaner", IF(BackEnd!$E$2=2, "TC_%", "TC_Count")
      ) &amp; "'!A:A"
    ),
    0
  ),
  BackEnd!B29
),"")</f>
        <v/>
      </c>
      <c r="D33" s="9" t="e">
        <f>IF(BackEnd!C29="","",BackEnd!C29)</f>
        <v>#REF!</v>
      </c>
      <c r="I33" s="10"/>
    </row>
    <row r="34" spans="3:10" x14ac:dyDescent="0.25">
      <c r="C34" s="8" t="str" cm="1">
        <f t="array" aca="1" ref="C34" ca="1">IFERROR(HYPERLINK(
  "#'" &amp;
  _xlfn.IFS(
    BackEnd!$F$5="Noodles", IF(BackEnd!$E$2=2, "N_%", "N_Count"),
    BackEnd!$F$5="Toothpaste", IF(BackEnd!$E$2=2, "TP_%", "TP_Count"),
    BackEnd!$F$5="Breakfast Cereal", IF(BackEnd!$E$2=2, "BC_%", "BC_Count"),
    BackEnd!$F$5="Bleach", IF(BackEnd!$E$2=2, "BL_%", "BL_Count"),
    BackEnd!$F$5="Edible Oil", IF(BackEnd!$E$2=2, "EO_%", "EO_Count"),
    BackEnd!$F$5="Snacks", IF(BackEnd!$E$2=2, "SK_%", "SK_Count"),
    BackEnd!$F$5="Condiment Mixes", IF(BackEnd!$E$2=2, "CM_%", "CM_Count"),
    BackEnd!$F$5="Wet Hair", IF(BackEnd!$E$2=2, "WH_%", "WH_Count"),
    BackEnd!$F$5="Dry Hair", IF(BackEnd!$E$2=2, "DH_%", "DH_Count"),
    BackEnd!$F$5="Toilet Cleaner", IF(BackEnd!$E$2=2, "TC_%", "TC_Count")
  ) &amp;
  "'!A" &amp;
  MATCH(
    BackEnd!B30,
    INDIRECT("'" &amp;
      _xlfn.IFS(
        BackEnd!$F$5="Noodles", IF(BackEnd!$E$2=2, "N_%", "N_Count"),
        BackEnd!$F$5="Toothpaste", IF(BackEnd!$E$2=2, "TP_%", "TP_Count"),
        BackEnd!$F$5="Breakfast Cereal", IF(BackEnd!$E$2=2, "BC_%", "BC_Count"),
        BackEnd!$F$5="Bleach", IF(BackEnd!$E$2=2, "BL_%", "BL_Count"),
        BackEnd!$F$5="Edible Oil", IF(BackEnd!$E$2=2, "EO_%", "EO_Count"),
        BackEnd!$F$5="Snacks", IF(BackEnd!$E$2=2, "SK_%", "SK_Count"),
        BackEnd!$F$5="Condiment Mixes", IF(BackEnd!$E$2=2, "CM_%", "CM_Count"),
        BackEnd!$F$5="Wet Hair", IF(BackEnd!$E$2=2, "WH_%", "WH_Count"),
        BackEnd!$F$5="Dry Hair", IF(BackEnd!$E$2=2, "DH_%", "DH_Count"),
        BackEnd!$F$5="Toilet Cleaner", IF(BackEnd!$E$2=2, "TC_%", "TC_Count")
      ) &amp; "'!A:A"
    ),
    0
  ),
  BackEnd!B30
),"")</f>
        <v/>
      </c>
      <c r="D34" s="9" t="e">
        <f>IF(BackEnd!C30="","",BackEnd!C30)</f>
        <v>#REF!</v>
      </c>
      <c r="I34" s="10"/>
    </row>
    <row r="35" spans="3:10" x14ac:dyDescent="0.25">
      <c r="C35" s="8" t="str" cm="1">
        <f t="array" aca="1" ref="C35" ca="1">IFERROR(HYPERLINK(
  "#'" &amp;
  _xlfn.IFS(
    BackEnd!$F$5="Noodles", IF(BackEnd!$E$2=2, "N_%", "N_Count"),
    BackEnd!$F$5="Toothpaste", IF(BackEnd!$E$2=2, "TP_%", "TP_Count"),
    BackEnd!$F$5="Breakfast Cereal", IF(BackEnd!$E$2=2, "BC_%", "BC_Count"),
    BackEnd!$F$5="Bleach", IF(BackEnd!$E$2=2, "BL_%", "BL_Count"),
    BackEnd!$F$5="Edible Oil", IF(BackEnd!$E$2=2, "EO_%", "EO_Count"),
    BackEnd!$F$5="Snacks", IF(BackEnd!$E$2=2, "SK_%", "SK_Count"),
    BackEnd!$F$5="Condiment Mixes", IF(BackEnd!$E$2=2, "CM_%", "CM_Count"),
    BackEnd!$F$5="Wet Hair", IF(BackEnd!$E$2=2, "WH_%", "WH_Count"),
    BackEnd!$F$5="Dry Hair", IF(BackEnd!$E$2=2, "DH_%", "DH_Count"),
    BackEnd!$F$5="Toilet Cleaner", IF(BackEnd!$E$2=2, "TC_%", "TC_Count")
  ) &amp;
  "'!A" &amp;
  MATCH(
    BackEnd!B31,
    INDIRECT("'" &amp;
      _xlfn.IFS(
        BackEnd!$F$5="Noodles", IF(BackEnd!$E$2=2, "N_%", "N_Count"),
        BackEnd!$F$5="Toothpaste", IF(BackEnd!$E$2=2, "TP_%", "TP_Count"),
        BackEnd!$F$5="Breakfast Cereal", IF(BackEnd!$E$2=2, "BC_%", "BC_Count"),
        BackEnd!$F$5="Bleach", IF(BackEnd!$E$2=2, "BL_%", "BL_Count"),
        BackEnd!$F$5="Edible Oil", IF(BackEnd!$E$2=2, "EO_%", "EO_Count"),
        BackEnd!$F$5="Snacks", IF(BackEnd!$E$2=2, "SK_%", "SK_Count"),
        BackEnd!$F$5="Condiment Mixes", IF(BackEnd!$E$2=2, "CM_%", "CM_Count"),
        BackEnd!$F$5="Wet Hair", IF(BackEnd!$E$2=2, "WH_%", "WH_Count"),
        BackEnd!$F$5="Dry Hair", IF(BackEnd!$E$2=2, "DH_%", "DH_Count"),
        BackEnd!$F$5="Toilet Cleaner", IF(BackEnd!$E$2=2, "TC_%", "TC_Count")
      ) &amp; "'!A:A"
    ),
    0
  ),
  BackEnd!B31
),"")</f>
        <v/>
      </c>
      <c r="D35" s="9" t="e">
        <f>IF(BackEnd!C31="","",BackEnd!C31)</f>
        <v>#REF!</v>
      </c>
      <c r="I35" s="10"/>
    </row>
    <row r="36" spans="3:10" x14ac:dyDescent="0.25">
      <c r="C36" s="8" t="str" cm="1">
        <f t="array" aca="1" ref="C36" ca="1">IFERROR(HYPERLINK(
  "#'" &amp;
  _xlfn.IFS(
    BackEnd!$F$5="Noodles", IF(BackEnd!$E$2=2, "N_%", "N_Count"),
    BackEnd!$F$5="Toothpaste", IF(BackEnd!$E$2=2, "TP_%", "TP_Count"),
    BackEnd!$F$5="Breakfast Cereal", IF(BackEnd!$E$2=2, "BC_%", "BC_Count"),
    BackEnd!$F$5="Bleach", IF(BackEnd!$E$2=2, "BL_%", "BL_Count"),
    BackEnd!$F$5="Edible Oil", IF(BackEnd!$E$2=2, "EO_%", "EO_Count"),
    BackEnd!$F$5="Snacks", IF(BackEnd!$E$2=2, "SK_%", "SK_Count"),
    BackEnd!$F$5="Condiment Mixes", IF(BackEnd!$E$2=2, "CM_%", "CM_Count"),
    BackEnd!$F$5="Wet Hair", IF(BackEnd!$E$2=2, "WH_%", "WH_Count"),
    BackEnd!$F$5="Dry Hair", IF(BackEnd!$E$2=2, "DH_%", "DH_Count"),
    BackEnd!$F$5="Toilet Cleaner", IF(BackEnd!$E$2=2, "TC_%", "TC_Count")
  ) &amp;
  "'!A" &amp;
  MATCH(
    BackEnd!B32,
    INDIRECT("'" &amp;
      _xlfn.IFS(
        BackEnd!$F$5="Noodles", IF(BackEnd!$E$2=2, "N_%", "N_Count"),
        BackEnd!$F$5="Toothpaste", IF(BackEnd!$E$2=2, "TP_%", "TP_Count"),
        BackEnd!$F$5="Breakfast Cereal", IF(BackEnd!$E$2=2, "BC_%", "BC_Count"),
        BackEnd!$F$5="Bleach", IF(BackEnd!$E$2=2, "BL_%", "BL_Count"),
        BackEnd!$F$5="Edible Oil", IF(BackEnd!$E$2=2, "EO_%", "EO_Count"),
        BackEnd!$F$5="Snacks", IF(BackEnd!$E$2=2, "SK_%", "SK_Count"),
        BackEnd!$F$5="Condiment Mixes", IF(BackEnd!$E$2=2, "CM_%", "CM_Count"),
        BackEnd!$F$5="Wet Hair", IF(BackEnd!$E$2=2, "WH_%", "WH_Count"),
        BackEnd!$F$5="Dry Hair", IF(BackEnd!$E$2=2, "DH_%", "DH_Count"),
        BackEnd!$F$5="Toilet Cleaner", IF(BackEnd!$E$2=2, "TC_%", "TC_Count")
      ) &amp; "'!A:A"
    ),
    0
  ),
  BackEnd!B32
),"")</f>
        <v/>
      </c>
      <c r="D36" s="9" t="e">
        <f>IF(BackEnd!C32="","",BackEnd!C32)</f>
        <v>#REF!</v>
      </c>
      <c r="J36" s="10"/>
    </row>
    <row r="37" spans="3:10" x14ac:dyDescent="0.25">
      <c r="C37" s="8" t="str" cm="1">
        <f t="array" aca="1" ref="C37" ca="1">IFERROR(HYPERLINK(
  "#'" &amp;
  _xlfn.IFS(
    BackEnd!$F$5="Noodles", IF(BackEnd!$E$2=2, "N_%", "N_Count"),
    BackEnd!$F$5="Toothpaste", IF(BackEnd!$E$2=2, "TP_%", "TP_Count"),
    BackEnd!$F$5="Breakfast Cereal", IF(BackEnd!$E$2=2, "BC_%", "BC_Count"),
    BackEnd!$F$5="Bleach", IF(BackEnd!$E$2=2, "BL_%", "BL_Count"),
    BackEnd!$F$5="Edible Oil", IF(BackEnd!$E$2=2, "EO_%", "EO_Count"),
    BackEnd!$F$5="Snacks", IF(BackEnd!$E$2=2, "SK_%", "SK_Count"),
    BackEnd!$F$5="Condiment Mixes", IF(BackEnd!$E$2=2, "CM_%", "CM_Count"),
    BackEnd!$F$5="Wet Hair", IF(BackEnd!$E$2=2, "WH_%", "WH_Count"),
    BackEnd!$F$5="Dry Hair", IF(BackEnd!$E$2=2, "DH_%", "DH_Count"),
    BackEnd!$F$5="Toilet Cleaner", IF(BackEnd!$E$2=2, "TC_%", "TC_Count")
  ) &amp;
  "'!A" &amp;
  MATCH(
    BackEnd!B33,
    INDIRECT("'" &amp;
      _xlfn.IFS(
        BackEnd!$F$5="Noodles", IF(BackEnd!$E$2=2, "N_%", "N_Count"),
        BackEnd!$F$5="Toothpaste", IF(BackEnd!$E$2=2, "TP_%", "TP_Count"),
        BackEnd!$F$5="Breakfast Cereal", IF(BackEnd!$E$2=2, "BC_%", "BC_Count"),
        BackEnd!$F$5="Bleach", IF(BackEnd!$E$2=2, "BL_%", "BL_Count"),
        BackEnd!$F$5="Edible Oil", IF(BackEnd!$E$2=2, "EO_%", "EO_Count"),
        BackEnd!$F$5="Snacks", IF(BackEnd!$E$2=2, "SK_%", "SK_Count"),
        BackEnd!$F$5="Condiment Mixes", IF(BackEnd!$E$2=2, "CM_%", "CM_Count"),
        BackEnd!$F$5="Wet Hair", IF(BackEnd!$E$2=2, "WH_%", "WH_Count"),
        BackEnd!$F$5="Dry Hair", IF(BackEnd!$E$2=2, "DH_%", "DH_Count"),
        BackEnd!$F$5="Toilet Cleaner", IF(BackEnd!$E$2=2, "TC_%", "TC_Count")
      ) &amp; "'!A:A"
    ),
    0
  ),
  BackEnd!B33
),"")</f>
        <v/>
      </c>
      <c r="D37" s="9" t="e">
        <f>IF(BackEnd!C33="","",BackEnd!C33)</f>
        <v>#REF!</v>
      </c>
      <c r="J37" s="10"/>
    </row>
    <row r="38" spans="3:10" x14ac:dyDescent="0.25">
      <c r="C38" s="8" t="str" cm="1">
        <f t="array" aca="1" ref="C38" ca="1">IFERROR(HYPERLINK(
  "#'" &amp;
  _xlfn.IFS(
    BackEnd!$F$5="Noodles", IF(BackEnd!$E$2=2, "N_%", "N_Count"),
    BackEnd!$F$5="Toothpaste", IF(BackEnd!$E$2=2, "TP_%", "TP_Count"),
    BackEnd!$F$5="Breakfast Cereal", IF(BackEnd!$E$2=2, "BC_%", "BC_Count"),
    BackEnd!$F$5="Bleach", IF(BackEnd!$E$2=2, "BL_%", "BL_Count"),
    BackEnd!$F$5="Edible Oil", IF(BackEnd!$E$2=2, "EO_%", "EO_Count"),
    BackEnd!$F$5="Snacks", IF(BackEnd!$E$2=2, "SK_%", "SK_Count"),
    BackEnd!$F$5="Condiment Mixes", IF(BackEnd!$E$2=2, "CM_%", "CM_Count"),
    BackEnd!$F$5="Wet Hair", IF(BackEnd!$E$2=2, "WH_%", "WH_Count"),
    BackEnd!$F$5="Dry Hair", IF(BackEnd!$E$2=2, "DH_%", "DH_Count"),
    BackEnd!$F$5="Toilet Cleaner", IF(BackEnd!$E$2=2, "TC_%", "TC_Count")
  ) &amp;
  "'!A" &amp;
  MATCH(
    BackEnd!B34,
    INDIRECT("'" &amp;
      _xlfn.IFS(
        BackEnd!$F$5="Noodles", IF(BackEnd!$E$2=2, "N_%", "N_Count"),
        BackEnd!$F$5="Toothpaste", IF(BackEnd!$E$2=2, "TP_%", "TP_Count"),
        BackEnd!$F$5="Breakfast Cereal", IF(BackEnd!$E$2=2, "BC_%", "BC_Count"),
        BackEnd!$F$5="Bleach", IF(BackEnd!$E$2=2, "BL_%", "BL_Count"),
        BackEnd!$F$5="Edible Oil", IF(BackEnd!$E$2=2, "EO_%", "EO_Count"),
        BackEnd!$F$5="Snacks", IF(BackEnd!$E$2=2, "SK_%", "SK_Count"),
        BackEnd!$F$5="Condiment Mixes", IF(BackEnd!$E$2=2, "CM_%", "CM_Count"),
        BackEnd!$F$5="Wet Hair", IF(BackEnd!$E$2=2, "WH_%", "WH_Count"),
        BackEnd!$F$5="Dry Hair", IF(BackEnd!$E$2=2, "DH_%", "DH_Count"),
        BackEnd!$F$5="Toilet Cleaner", IF(BackEnd!$E$2=2, "TC_%", "TC_Count")
      ) &amp; "'!A:A"
    ),
    0
  ),
  BackEnd!B34
),"")</f>
        <v/>
      </c>
      <c r="D38" s="9" t="e">
        <f>IF(BackEnd!C34="","",BackEnd!C34)</f>
        <v>#REF!</v>
      </c>
      <c r="J38" s="10"/>
    </row>
    <row r="39" spans="3:10" x14ac:dyDescent="0.25">
      <c r="C39" s="8" t="str" cm="1">
        <f t="array" aca="1" ref="C39" ca="1">IFERROR(HYPERLINK(
  "#'" &amp;
  _xlfn.IFS(
    BackEnd!$F$5="Noodles", IF(BackEnd!$E$2=2, "N_%", "N_Count"),
    BackEnd!$F$5="Toothpaste", IF(BackEnd!$E$2=2, "TP_%", "TP_Count"),
    BackEnd!$F$5="Breakfast Cereal", IF(BackEnd!$E$2=2, "BC_%", "BC_Count"),
    BackEnd!$F$5="Bleach", IF(BackEnd!$E$2=2, "BL_%", "BL_Count"),
    BackEnd!$F$5="Edible Oil", IF(BackEnd!$E$2=2, "EO_%", "EO_Count"),
    BackEnd!$F$5="Snacks", IF(BackEnd!$E$2=2, "SK_%", "SK_Count"),
    BackEnd!$F$5="Condiment Mixes", IF(BackEnd!$E$2=2, "CM_%", "CM_Count"),
    BackEnd!$F$5="Wet Hair", IF(BackEnd!$E$2=2, "WH_%", "WH_Count"),
    BackEnd!$F$5="Dry Hair", IF(BackEnd!$E$2=2, "DH_%", "DH_Count"),
    BackEnd!$F$5="Toilet Cleaner", IF(BackEnd!$E$2=2, "TC_%", "TC_Count")
  ) &amp;
  "'!A" &amp;
  MATCH(
    BackEnd!B35,
    INDIRECT("'" &amp;
      _xlfn.IFS(
        BackEnd!$F$5="Noodles", IF(BackEnd!$E$2=2, "N_%", "N_Count"),
        BackEnd!$F$5="Toothpaste", IF(BackEnd!$E$2=2, "TP_%", "TP_Count"),
        BackEnd!$F$5="Breakfast Cereal", IF(BackEnd!$E$2=2, "BC_%", "BC_Count"),
        BackEnd!$F$5="Bleach", IF(BackEnd!$E$2=2, "BL_%", "BL_Count"),
        BackEnd!$F$5="Edible Oil", IF(BackEnd!$E$2=2, "EO_%", "EO_Count"),
        BackEnd!$F$5="Snacks", IF(BackEnd!$E$2=2, "SK_%", "SK_Count"),
        BackEnd!$F$5="Condiment Mixes", IF(BackEnd!$E$2=2, "CM_%", "CM_Count"),
        BackEnd!$F$5="Wet Hair", IF(BackEnd!$E$2=2, "WH_%", "WH_Count"),
        BackEnd!$F$5="Dry Hair", IF(BackEnd!$E$2=2, "DH_%", "DH_Count"),
        BackEnd!$F$5="Toilet Cleaner", IF(BackEnd!$E$2=2, "TC_%", "TC_Count")
      ) &amp; "'!A:A"
    ),
    0
  ),
  BackEnd!B35
),"")</f>
        <v/>
      </c>
      <c r="D39" s="9" t="e">
        <f>IF(BackEnd!C35="","",BackEnd!C35)</f>
        <v>#REF!</v>
      </c>
      <c r="J39" s="10"/>
    </row>
    <row r="40" spans="3:10" x14ac:dyDescent="0.25">
      <c r="C40" s="8" t="str" cm="1">
        <f t="array" aca="1" ref="C40" ca="1">IFERROR(HYPERLINK(
  "#'" &amp;
  _xlfn.IFS(
    BackEnd!$F$5="Noodles", IF(BackEnd!$E$2=2, "N_%", "N_Count"),
    BackEnd!$F$5="Toothpaste", IF(BackEnd!$E$2=2, "TP_%", "TP_Count"),
    BackEnd!$F$5="Breakfast Cereal", IF(BackEnd!$E$2=2, "BC_%", "BC_Count"),
    BackEnd!$F$5="Bleach", IF(BackEnd!$E$2=2, "BL_%", "BL_Count"),
    BackEnd!$F$5="Edible Oil", IF(BackEnd!$E$2=2, "EO_%", "EO_Count"),
    BackEnd!$F$5="Snacks", IF(BackEnd!$E$2=2, "SK_%", "SK_Count"),
    BackEnd!$F$5="Condiment Mixes", IF(BackEnd!$E$2=2, "CM_%", "CM_Count"),
    BackEnd!$F$5="Wet Hair", IF(BackEnd!$E$2=2, "WH_%", "WH_Count"),
    BackEnd!$F$5="Dry Hair", IF(BackEnd!$E$2=2, "DH_%", "DH_Count"),
    BackEnd!$F$5="Toilet Cleaner", IF(BackEnd!$E$2=2, "TC_%", "TC_Count")
  ) &amp;
  "'!A" &amp;
  MATCH(
    BackEnd!B36,
    INDIRECT("'" &amp;
      _xlfn.IFS(
        BackEnd!$F$5="Noodles", IF(BackEnd!$E$2=2, "N_%", "N_Count"),
        BackEnd!$F$5="Toothpaste", IF(BackEnd!$E$2=2, "TP_%", "TP_Count"),
        BackEnd!$F$5="Breakfast Cereal", IF(BackEnd!$E$2=2, "BC_%", "BC_Count"),
        BackEnd!$F$5="Bleach", IF(BackEnd!$E$2=2, "BL_%", "BL_Count"),
        BackEnd!$F$5="Edible Oil", IF(BackEnd!$E$2=2, "EO_%", "EO_Count"),
        BackEnd!$F$5="Snacks", IF(BackEnd!$E$2=2, "SK_%", "SK_Count"),
        BackEnd!$F$5="Condiment Mixes", IF(BackEnd!$E$2=2, "CM_%", "CM_Count"),
        BackEnd!$F$5="Wet Hair", IF(BackEnd!$E$2=2, "WH_%", "WH_Count"),
        BackEnd!$F$5="Dry Hair", IF(BackEnd!$E$2=2, "DH_%", "DH_Count"),
        BackEnd!$F$5="Toilet Cleaner", IF(BackEnd!$E$2=2, "TC_%", "TC_Count")
      ) &amp; "'!A:A"
    ),
    0
  ),
  BackEnd!B36
),"")</f>
        <v/>
      </c>
      <c r="D40" s="9" t="e">
        <f>IF(BackEnd!C36="","",BackEnd!C36)</f>
        <v>#REF!</v>
      </c>
      <c r="J40" s="10"/>
    </row>
    <row r="41" spans="3:10" x14ac:dyDescent="0.25">
      <c r="C41" s="8" t="str" cm="1">
        <f t="array" aca="1" ref="C41" ca="1">IFERROR(HYPERLINK(
  "#'" &amp;
  _xlfn.IFS(
    BackEnd!$F$5="Noodles", IF(BackEnd!$E$2=2, "N_%", "N_Count"),
    BackEnd!$F$5="Toothpaste", IF(BackEnd!$E$2=2, "TP_%", "TP_Count"),
    BackEnd!$F$5="Breakfast Cereal", IF(BackEnd!$E$2=2, "BC_%", "BC_Count"),
    BackEnd!$F$5="Bleach", IF(BackEnd!$E$2=2, "BL_%", "BL_Count"),
    BackEnd!$F$5="Edible Oil", IF(BackEnd!$E$2=2, "EO_%", "EO_Count"),
    BackEnd!$F$5="Snacks", IF(BackEnd!$E$2=2, "SK_%", "SK_Count"),
    BackEnd!$F$5="Condiment Mixes", IF(BackEnd!$E$2=2, "CM_%", "CM_Count"),
    BackEnd!$F$5="Wet Hair", IF(BackEnd!$E$2=2, "WH_%", "WH_Count"),
    BackEnd!$F$5="Dry Hair", IF(BackEnd!$E$2=2, "DH_%", "DH_Count"),
    BackEnd!$F$5="Toilet Cleaner", IF(BackEnd!$E$2=2, "TC_%", "TC_Count")
  ) &amp;
  "'!A" &amp;
  MATCH(
    BackEnd!B37,
    INDIRECT("'" &amp;
      _xlfn.IFS(
        BackEnd!$F$5="Noodles", IF(BackEnd!$E$2=2, "N_%", "N_Count"),
        BackEnd!$F$5="Toothpaste", IF(BackEnd!$E$2=2, "TP_%", "TP_Count"),
        BackEnd!$F$5="Breakfast Cereal", IF(BackEnd!$E$2=2, "BC_%", "BC_Count"),
        BackEnd!$F$5="Bleach", IF(BackEnd!$E$2=2, "BL_%", "BL_Count"),
        BackEnd!$F$5="Edible Oil", IF(BackEnd!$E$2=2, "EO_%", "EO_Count"),
        BackEnd!$F$5="Snacks", IF(BackEnd!$E$2=2, "SK_%", "SK_Count"),
        BackEnd!$F$5="Condiment Mixes", IF(BackEnd!$E$2=2, "CM_%", "CM_Count"),
        BackEnd!$F$5="Wet Hair", IF(BackEnd!$E$2=2, "WH_%", "WH_Count"),
        BackEnd!$F$5="Dry Hair", IF(BackEnd!$E$2=2, "DH_%", "DH_Count"),
        BackEnd!$F$5="Toilet Cleaner", IF(BackEnd!$E$2=2, "TC_%", "TC_Count")
      ) &amp; "'!A:A"
    ),
    0
  ),
  BackEnd!B37
),"")</f>
        <v/>
      </c>
      <c r="D41" s="9" t="e">
        <f>IF(BackEnd!C37="","",BackEnd!C37)</f>
        <v>#REF!</v>
      </c>
    </row>
    <row r="42" spans="3:10" x14ac:dyDescent="0.25">
      <c r="C42" s="8" t="str" cm="1">
        <f t="array" aca="1" ref="C42" ca="1">IFERROR(HYPERLINK(
  "#'" &amp;
  _xlfn.IFS(
    BackEnd!$F$5="Noodles", IF(BackEnd!$E$2=2, "N_%", "N_Count"),
    BackEnd!$F$5="Toothpaste", IF(BackEnd!$E$2=2, "TP_%", "TP_Count"),
    BackEnd!$F$5="Breakfast Cereal", IF(BackEnd!$E$2=2, "BC_%", "BC_Count"),
    BackEnd!$F$5="Bleach", IF(BackEnd!$E$2=2, "BL_%", "BL_Count"),
    BackEnd!$F$5="Edible Oil", IF(BackEnd!$E$2=2, "EO_%", "EO_Count"),
    BackEnd!$F$5="Snacks", IF(BackEnd!$E$2=2, "SK_%", "SK_Count"),
    BackEnd!$F$5="Condiment Mixes", IF(BackEnd!$E$2=2, "CM_%", "CM_Count"),
    BackEnd!$F$5="Wet Hair", IF(BackEnd!$E$2=2, "WH_%", "WH_Count"),
    BackEnd!$F$5="Dry Hair", IF(BackEnd!$E$2=2, "DH_%", "DH_Count"),
    BackEnd!$F$5="Toilet Cleaner", IF(BackEnd!$E$2=2, "TC_%", "TC_Count")
  ) &amp;
  "'!A" &amp;
  MATCH(
    BackEnd!B38,
    INDIRECT("'" &amp;
      _xlfn.IFS(
        BackEnd!$F$5="Noodles", IF(BackEnd!$E$2=2, "N_%", "N_Count"),
        BackEnd!$F$5="Toothpaste", IF(BackEnd!$E$2=2, "TP_%", "TP_Count"),
        BackEnd!$F$5="Breakfast Cereal", IF(BackEnd!$E$2=2, "BC_%", "BC_Count"),
        BackEnd!$F$5="Bleach", IF(BackEnd!$E$2=2, "BL_%", "BL_Count"),
        BackEnd!$F$5="Edible Oil", IF(BackEnd!$E$2=2, "EO_%", "EO_Count"),
        BackEnd!$F$5="Snacks", IF(BackEnd!$E$2=2, "SK_%", "SK_Count"),
        BackEnd!$F$5="Condiment Mixes", IF(BackEnd!$E$2=2, "CM_%", "CM_Count"),
        BackEnd!$F$5="Wet Hair", IF(BackEnd!$E$2=2, "WH_%", "WH_Count"),
        BackEnd!$F$5="Dry Hair", IF(BackEnd!$E$2=2, "DH_%", "DH_Count"),
        BackEnd!$F$5="Toilet Cleaner", IF(BackEnd!$E$2=2, "TC_%", "TC_Count")
      ) &amp; "'!A:A"
    ),
    0
  ),
  BackEnd!B38
),"")</f>
        <v/>
      </c>
      <c r="D42" s="9" t="e">
        <f>IF(BackEnd!C38="","",BackEnd!C38)</f>
        <v>#REF!</v>
      </c>
    </row>
    <row r="43" spans="3:10" x14ac:dyDescent="0.25">
      <c r="C43" s="8" t="str" cm="1">
        <f t="array" aca="1" ref="C43" ca="1">IFERROR(HYPERLINK(
  "#'" &amp;
  _xlfn.IFS(
    BackEnd!$F$5="Noodles", IF(BackEnd!$E$2=2, "N_%", "N_Count"),
    BackEnd!$F$5="Toothpaste", IF(BackEnd!$E$2=2, "TP_%", "TP_Count"),
    BackEnd!$F$5="Breakfast Cereal", IF(BackEnd!$E$2=2, "BC_%", "BC_Count"),
    BackEnd!$F$5="Bleach", IF(BackEnd!$E$2=2, "BL_%", "BL_Count"),
    BackEnd!$F$5="Edible Oil", IF(BackEnd!$E$2=2, "EO_%", "EO_Count"),
    BackEnd!$F$5="Snacks", IF(BackEnd!$E$2=2, "SK_%", "SK_Count"),
    BackEnd!$F$5="Condiment Mixes", IF(BackEnd!$E$2=2, "CM_%", "CM_Count"),
    BackEnd!$F$5="Wet Hair", IF(BackEnd!$E$2=2, "WH_%", "WH_Count"),
    BackEnd!$F$5="Dry Hair", IF(BackEnd!$E$2=2, "DH_%", "DH_Count"),
    BackEnd!$F$5="Toilet Cleaner", IF(BackEnd!$E$2=2, "TC_%", "TC_Count")
  ) &amp;
  "'!A" &amp;
  MATCH(
    BackEnd!B39,
    INDIRECT("'" &amp;
      _xlfn.IFS(
        BackEnd!$F$5="Noodles", IF(BackEnd!$E$2=2, "N_%", "N_Count"),
        BackEnd!$F$5="Toothpaste", IF(BackEnd!$E$2=2, "TP_%", "TP_Count"),
        BackEnd!$F$5="Breakfast Cereal", IF(BackEnd!$E$2=2, "BC_%", "BC_Count"),
        BackEnd!$F$5="Bleach", IF(BackEnd!$E$2=2, "BL_%", "BL_Count"),
        BackEnd!$F$5="Edible Oil", IF(BackEnd!$E$2=2, "EO_%", "EO_Count"),
        BackEnd!$F$5="Snacks", IF(BackEnd!$E$2=2, "SK_%", "SK_Count"),
        BackEnd!$F$5="Condiment Mixes", IF(BackEnd!$E$2=2, "CM_%", "CM_Count"),
        BackEnd!$F$5="Wet Hair", IF(BackEnd!$E$2=2, "WH_%", "WH_Count"),
        BackEnd!$F$5="Dry Hair", IF(BackEnd!$E$2=2, "DH_%", "DH_Count"),
        BackEnd!$F$5="Toilet Cleaner", IF(BackEnd!$E$2=2, "TC_%", "TC_Count")
      ) &amp; "'!A:A"
    ),
    0
  ),
  BackEnd!B39
),"")</f>
        <v/>
      </c>
      <c r="D43" s="9" t="e">
        <f>IF(BackEnd!C39="","",BackEnd!C39)</f>
        <v>#REF!</v>
      </c>
    </row>
    <row r="44" spans="3:10" x14ac:dyDescent="0.25">
      <c r="C44" s="8" t="str" cm="1">
        <f t="array" aca="1" ref="C44" ca="1">IFERROR(HYPERLINK(
  "#'" &amp;
  _xlfn.IFS(
    BackEnd!$F$5="Noodles", IF(BackEnd!$E$2=2, "N_%", "N_Count"),
    BackEnd!$F$5="Toothpaste", IF(BackEnd!$E$2=2, "TP_%", "TP_Count"),
    BackEnd!$F$5="Breakfast Cereal", IF(BackEnd!$E$2=2, "BC_%", "BC_Count"),
    BackEnd!$F$5="Bleach", IF(BackEnd!$E$2=2, "BL_%", "BL_Count"),
    BackEnd!$F$5="Edible Oil", IF(BackEnd!$E$2=2, "EO_%", "EO_Count"),
    BackEnd!$F$5="Snacks", IF(BackEnd!$E$2=2, "SK_%", "SK_Count"),
    BackEnd!$F$5="Condiment Mixes", IF(BackEnd!$E$2=2, "CM_%", "CM_Count"),
    BackEnd!$F$5="Wet Hair", IF(BackEnd!$E$2=2, "WH_%", "WH_Count"),
    BackEnd!$F$5="Dry Hair", IF(BackEnd!$E$2=2, "DH_%", "DH_Count"),
    BackEnd!$F$5="Toilet Cleaner", IF(BackEnd!$E$2=2, "TC_%", "TC_Count")
  ) &amp;
  "'!A" &amp;
  MATCH(
    BackEnd!B40,
    INDIRECT("'" &amp;
      _xlfn.IFS(
        BackEnd!$F$5="Noodles", IF(BackEnd!$E$2=2, "N_%", "N_Count"),
        BackEnd!$F$5="Toothpaste", IF(BackEnd!$E$2=2, "TP_%", "TP_Count"),
        BackEnd!$F$5="Breakfast Cereal", IF(BackEnd!$E$2=2, "BC_%", "BC_Count"),
        BackEnd!$F$5="Bleach", IF(BackEnd!$E$2=2, "BL_%", "BL_Count"),
        BackEnd!$F$5="Edible Oil", IF(BackEnd!$E$2=2, "EO_%", "EO_Count"),
        BackEnd!$F$5="Snacks", IF(BackEnd!$E$2=2, "SK_%", "SK_Count"),
        BackEnd!$F$5="Condiment Mixes", IF(BackEnd!$E$2=2, "CM_%", "CM_Count"),
        BackEnd!$F$5="Wet Hair", IF(BackEnd!$E$2=2, "WH_%", "WH_Count"),
        BackEnd!$F$5="Dry Hair", IF(BackEnd!$E$2=2, "DH_%", "DH_Count"),
        BackEnd!$F$5="Toilet Cleaner", IF(BackEnd!$E$2=2, "TC_%", "TC_Count")
      ) &amp; "'!A:A"
    ),
    0
  ),
  BackEnd!B40
),"")</f>
        <v/>
      </c>
      <c r="D44" s="9" t="e">
        <f>IF(BackEnd!C40="","",BackEnd!C40)</f>
        <v>#REF!</v>
      </c>
    </row>
    <row r="45" spans="3:10" x14ac:dyDescent="0.25">
      <c r="C45" s="8" t="str" cm="1">
        <f t="array" aca="1" ref="C45" ca="1">IFERROR(HYPERLINK(
  "#'" &amp;
  _xlfn.IFS(
    BackEnd!$F$5="Noodles", IF(BackEnd!$E$2=2, "N_%", "N_Count"),
    BackEnd!$F$5="Toothpaste", IF(BackEnd!$E$2=2, "TP_%", "TP_Count"),
    BackEnd!$F$5="Breakfast Cereal", IF(BackEnd!$E$2=2, "BC_%", "BC_Count"),
    BackEnd!$F$5="Bleach", IF(BackEnd!$E$2=2, "BL_%", "BL_Count"),
    BackEnd!$F$5="Edible Oil", IF(BackEnd!$E$2=2, "EO_%", "EO_Count"),
    BackEnd!$F$5="Snacks", IF(BackEnd!$E$2=2, "SK_%", "SK_Count"),
    BackEnd!$F$5="Condiment Mixes", IF(BackEnd!$E$2=2, "CM_%", "CM_Count"),
    BackEnd!$F$5="Wet Hair", IF(BackEnd!$E$2=2, "WH_%", "WH_Count"),
    BackEnd!$F$5="Dry Hair", IF(BackEnd!$E$2=2, "DH_%", "DH_Count"),
    BackEnd!$F$5="Toilet Cleaner", IF(BackEnd!$E$2=2, "TC_%", "TC_Count")
  ) &amp;
  "'!A" &amp;
  MATCH(
    BackEnd!B41,
    INDIRECT("'" &amp;
      _xlfn.IFS(
        BackEnd!$F$5="Noodles", IF(BackEnd!$E$2=2, "N_%", "N_Count"),
        BackEnd!$F$5="Toothpaste", IF(BackEnd!$E$2=2, "TP_%", "TP_Count"),
        BackEnd!$F$5="Breakfast Cereal", IF(BackEnd!$E$2=2, "BC_%", "BC_Count"),
        BackEnd!$F$5="Bleach", IF(BackEnd!$E$2=2, "BL_%", "BL_Count"),
        BackEnd!$F$5="Edible Oil", IF(BackEnd!$E$2=2, "EO_%", "EO_Count"),
        BackEnd!$F$5="Snacks", IF(BackEnd!$E$2=2, "SK_%", "SK_Count"),
        BackEnd!$F$5="Condiment Mixes", IF(BackEnd!$E$2=2, "CM_%", "CM_Count"),
        BackEnd!$F$5="Wet Hair", IF(BackEnd!$E$2=2, "WH_%", "WH_Count"),
        BackEnd!$F$5="Dry Hair", IF(BackEnd!$E$2=2, "DH_%", "DH_Count"),
        BackEnd!$F$5="Toilet Cleaner", IF(BackEnd!$E$2=2, "TC_%", "TC_Count")
      ) &amp; "'!A:A"
    ),
    0
  ),
  BackEnd!B41
),"")</f>
        <v/>
      </c>
      <c r="D45" s="9" t="e">
        <f>IF(BackEnd!C41="","",BackEnd!C41)</f>
        <v>#REF!</v>
      </c>
    </row>
    <row r="46" spans="3:10" x14ac:dyDescent="0.25">
      <c r="C46" s="8" t="str" cm="1">
        <f t="array" aca="1" ref="C46" ca="1">IFERROR(HYPERLINK(
  "#'" &amp;
  _xlfn.IFS(
    BackEnd!$F$5="Noodles", IF(BackEnd!$E$2=2, "N_%", "N_Count"),
    BackEnd!$F$5="Toothpaste", IF(BackEnd!$E$2=2, "TP_%", "TP_Count"),
    BackEnd!$F$5="Breakfast Cereal", IF(BackEnd!$E$2=2, "BC_%", "BC_Count"),
    BackEnd!$F$5="Bleach", IF(BackEnd!$E$2=2, "BL_%", "BL_Count"),
    BackEnd!$F$5="Edible Oil", IF(BackEnd!$E$2=2, "EO_%", "EO_Count"),
    BackEnd!$F$5="Snacks", IF(BackEnd!$E$2=2, "SK_%", "SK_Count"),
    BackEnd!$F$5="Condiment Mixes", IF(BackEnd!$E$2=2, "CM_%", "CM_Count"),
    BackEnd!$F$5="Wet Hair", IF(BackEnd!$E$2=2, "WH_%", "WH_Count"),
    BackEnd!$F$5="Dry Hair", IF(BackEnd!$E$2=2, "DH_%", "DH_Count"),
    BackEnd!$F$5="Toilet Cleaner", IF(BackEnd!$E$2=2, "TC_%", "TC_Count")
  ) &amp;
  "'!A" &amp;
  MATCH(
    BackEnd!B42,
    INDIRECT("'" &amp;
      _xlfn.IFS(
        BackEnd!$F$5="Noodles", IF(BackEnd!$E$2=2, "N_%", "N_Count"),
        BackEnd!$F$5="Toothpaste", IF(BackEnd!$E$2=2, "TP_%", "TP_Count"),
        BackEnd!$F$5="Breakfast Cereal", IF(BackEnd!$E$2=2, "BC_%", "BC_Count"),
        BackEnd!$F$5="Bleach", IF(BackEnd!$E$2=2, "BL_%", "BL_Count"),
        BackEnd!$F$5="Edible Oil", IF(BackEnd!$E$2=2, "EO_%", "EO_Count"),
        BackEnd!$F$5="Snacks", IF(BackEnd!$E$2=2, "SK_%", "SK_Count"),
        BackEnd!$F$5="Condiment Mixes", IF(BackEnd!$E$2=2, "CM_%", "CM_Count"),
        BackEnd!$F$5="Wet Hair", IF(BackEnd!$E$2=2, "WH_%", "WH_Count"),
        BackEnd!$F$5="Dry Hair", IF(BackEnd!$E$2=2, "DH_%", "DH_Count"),
        BackEnd!$F$5="Toilet Cleaner", IF(BackEnd!$E$2=2, "TC_%", "TC_Count")
      ) &amp; "'!A:A"
    ),
    0
  ),
  BackEnd!B42
),"")</f>
        <v/>
      </c>
      <c r="D46" s="9" t="e">
        <f>IF(BackEnd!C42="","",BackEnd!C42)</f>
        <v>#REF!</v>
      </c>
    </row>
    <row r="47" spans="3:10" x14ac:dyDescent="0.25">
      <c r="C47" s="8" t="str" cm="1">
        <f t="array" aca="1" ref="C47" ca="1">IFERROR(HYPERLINK(
  "#'" &amp;
  _xlfn.IFS(
    BackEnd!$F$5="Noodles", IF(BackEnd!$E$2=2, "N_%", "N_Count"),
    BackEnd!$F$5="Toothpaste", IF(BackEnd!$E$2=2, "TP_%", "TP_Count"),
    BackEnd!$F$5="Breakfast Cereal", IF(BackEnd!$E$2=2, "BC_%", "BC_Count"),
    BackEnd!$F$5="Bleach", IF(BackEnd!$E$2=2, "BL_%", "BL_Count"),
    BackEnd!$F$5="Edible Oil", IF(BackEnd!$E$2=2, "EO_%", "EO_Count"),
    BackEnd!$F$5="Snacks", IF(BackEnd!$E$2=2, "SK_%", "SK_Count"),
    BackEnd!$F$5="Condiment Mixes", IF(BackEnd!$E$2=2, "CM_%", "CM_Count"),
    BackEnd!$F$5="Wet Hair", IF(BackEnd!$E$2=2, "WH_%", "WH_Count"),
    BackEnd!$F$5="Dry Hair", IF(BackEnd!$E$2=2, "DH_%", "DH_Count"),
    BackEnd!$F$5="Toilet Cleaner", IF(BackEnd!$E$2=2, "TC_%", "TC_Count")
  ) &amp;
  "'!A" &amp;
  MATCH(
    BackEnd!B43,
    INDIRECT("'" &amp;
      _xlfn.IFS(
        BackEnd!$F$5="Noodles", IF(BackEnd!$E$2=2, "N_%", "N_Count"),
        BackEnd!$F$5="Toothpaste", IF(BackEnd!$E$2=2, "TP_%", "TP_Count"),
        BackEnd!$F$5="Breakfast Cereal", IF(BackEnd!$E$2=2, "BC_%", "BC_Count"),
        BackEnd!$F$5="Bleach", IF(BackEnd!$E$2=2, "BL_%", "BL_Count"),
        BackEnd!$F$5="Edible Oil", IF(BackEnd!$E$2=2, "EO_%", "EO_Count"),
        BackEnd!$F$5="Snacks", IF(BackEnd!$E$2=2, "SK_%", "SK_Count"),
        BackEnd!$F$5="Condiment Mixes", IF(BackEnd!$E$2=2, "CM_%", "CM_Count"),
        BackEnd!$F$5="Wet Hair", IF(BackEnd!$E$2=2, "WH_%", "WH_Count"),
        BackEnd!$F$5="Dry Hair", IF(BackEnd!$E$2=2, "DH_%", "DH_Count"),
        BackEnd!$F$5="Toilet Cleaner", IF(BackEnd!$E$2=2, "TC_%", "TC_Count")
      ) &amp; "'!A:A"
    ),
    0
  ),
  BackEnd!B43
),"")</f>
        <v/>
      </c>
      <c r="D47" s="9" t="e">
        <f>IF(BackEnd!C43="","",BackEnd!C43)</f>
        <v>#REF!</v>
      </c>
    </row>
    <row r="48" spans="3:10" x14ac:dyDescent="0.25">
      <c r="C48" s="8" t="str" cm="1">
        <f t="array" aca="1" ref="C48" ca="1">IFERROR(HYPERLINK(
  "#'" &amp;
  _xlfn.IFS(
    BackEnd!$F$5="Noodles", IF(BackEnd!$E$2=2, "N_%", "N_Count"),
    BackEnd!$F$5="Toothpaste", IF(BackEnd!$E$2=2, "TP_%", "TP_Count"),
    BackEnd!$F$5="Breakfast Cereal", IF(BackEnd!$E$2=2, "BC_%", "BC_Count"),
    BackEnd!$F$5="Bleach", IF(BackEnd!$E$2=2, "BL_%", "BL_Count"),
    BackEnd!$F$5="Edible Oil", IF(BackEnd!$E$2=2, "EO_%", "EO_Count"),
    BackEnd!$F$5="Snacks", IF(BackEnd!$E$2=2, "SK_%", "SK_Count"),
    BackEnd!$F$5="Condiment Mixes", IF(BackEnd!$E$2=2, "CM_%", "CM_Count"),
    BackEnd!$F$5="Wet Hair", IF(BackEnd!$E$2=2, "WH_%", "WH_Count"),
    BackEnd!$F$5="Dry Hair", IF(BackEnd!$E$2=2, "DH_%", "DH_Count"),
    BackEnd!$F$5="Toilet Cleaner", IF(BackEnd!$E$2=2, "TC_%", "TC_Count")
  ) &amp;
  "'!A" &amp;
  MATCH(
    BackEnd!B44,
    INDIRECT("'" &amp;
      _xlfn.IFS(
        BackEnd!$F$5="Noodles", IF(BackEnd!$E$2=2, "N_%", "N_Count"),
        BackEnd!$F$5="Toothpaste", IF(BackEnd!$E$2=2, "TP_%", "TP_Count"),
        BackEnd!$F$5="Breakfast Cereal", IF(BackEnd!$E$2=2, "BC_%", "BC_Count"),
        BackEnd!$F$5="Bleach", IF(BackEnd!$E$2=2, "BL_%", "BL_Count"),
        BackEnd!$F$5="Edible Oil", IF(BackEnd!$E$2=2, "EO_%", "EO_Count"),
        BackEnd!$F$5="Snacks", IF(BackEnd!$E$2=2, "SK_%", "SK_Count"),
        BackEnd!$F$5="Condiment Mixes", IF(BackEnd!$E$2=2, "CM_%", "CM_Count"),
        BackEnd!$F$5="Wet Hair", IF(BackEnd!$E$2=2, "WH_%", "WH_Count"),
        BackEnd!$F$5="Dry Hair", IF(BackEnd!$E$2=2, "DH_%", "DH_Count"),
        BackEnd!$F$5="Toilet Cleaner", IF(BackEnd!$E$2=2, "TC_%", "TC_Count")
      ) &amp; "'!A:A"
    ),
    0
  ),
  BackEnd!B44
),"")</f>
        <v/>
      </c>
      <c r="D48" s="9" t="e">
        <f>IF(BackEnd!C44="","",BackEnd!C44)</f>
        <v>#REF!</v>
      </c>
    </row>
    <row r="49" spans="3:4" x14ac:dyDescent="0.25">
      <c r="C49" s="8" t="str" cm="1">
        <f t="array" aca="1" ref="C49" ca="1">IFERROR(HYPERLINK(
  "#'" &amp;
  _xlfn.IFS(
    BackEnd!$F$5="Noodles", IF(BackEnd!$E$2=2, "N_%", "N_Count"),
    BackEnd!$F$5="Toothpaste", IF(BackEnd!$E$2=2, "TP_%", "TP_Count"),
    BackEnd!$F$5="Breakfast Cereal", IF(BackEnd!$E$2=2, "BC_%", "BC_Count"),
    BackEnd!$F$5="Bleach", IF(BackEnd!$E$2=2, "BL_%", "BL_Count"),
    BackEnd!$F$5="Edible Oil", IF(BackEnd!$E$2=2, "EO_%", "EO_Count"),
    BackEnd!$F$5="Snacks", IF(BackEnd!$E$2=2, "SK_%", "SK_Count"),
    BackEnd!$F$5="Condiment Mixes", IF(BackEnd!$E$2=2, "CM_%", "CM_Count"),
    BackEnd!$F$5="Wet Hair", IF(BackEnd!$E$2=2, "WH_%", "WH_Count"),
    BackEnd!$F$5="Dry Hair", IF(BackEnd!$E$2=2, "DH_%", "DH_Count"),
    BackEnd!$F$5="Toilet Cleaner", IF(BackEnd!$E$2=2, "TC_%", "TC_Count")
  ) &amp;
  "'!A" &amp;
  MATCH(
    BackEnd!B45,
    INDIRECT("'" &amp;
      _xlfn.IFS(
        BackEnd!$F$5="Noodles", IF(BackEnd!$E$2=2, "N_%", "N_Count"),
        BackEnd!$F$5="Toothpaste", IF(BackEnd!$E$2=2, "TP_%", "TP_Count"),
        BackEnd!$F$5="Breakfast Cereal", IF(BackEnd!$E$2=2, "BC_%", "BC_Count"),
        BackEnd!$F$5="Bleach", IF(BackEnd!$E$2=2, "BL_%", "BL_Count"),
        BackEnd!$F$5="Edible Oil", IF(BackEnd!$E$2=2, "EO_%", "EO_Count"),
        BackEnd!$F$5="Snacks", IF(BackEnd!$E$2=2, "SK_%", "SK_Count"),
        BackEnd!$F$5="Condiment Mixes", IF(BackEnd!$E$2=2, "CM_%", "CM_Count"),
        BackEnd!$F$5="Wet Hair", IF(BackEnd!$E$2=2, "WH_%", "WH_Count"),
        BackEnd!$F$5="Dry Hair", IF(BackEnd!$E$2=2, "DH_%", "DH_Count"),
        BackEnd!$F$5="Toilet Cleaner", IF(BackEnd!$E$2=2, "TC_%", "TC_Count")
      ) &amp; "'!A:A"
    ),
    0
  ),
  BackEnd!B45
),"")</f>
        <v/>
      </c>
      <c r="D49" s="9" t="e">
        <f>IF(BackEnd!C45="","",BackEnd!C45)</f>
        <v>#REF!</v>
      </c>
    </row>
    <row r="50" spans="3:4" x14ac:dyDescent="0.25">
      <c r="C50" s="8" t="str" cm="1">
        <f t="array" aca="1" ref="C50" ca="1">IFERROR(HYPERLINK(
  "#'" &amp;
  _xlfn.IFS(
    BackEnd!$F$5="Noodles", IF(BackEnd!$E$2=2, "N_%", "N_Count"),
    BackEnd!$F$5="Toothpaste", IF(BackEnd!$E$2=2, "TP_%", "TP_Count"),
    BackEnd!$F$5="Breakfast Cereal", IF(BackEnd!$E$2=2, "BC_%", "BC_Count"),
    BackEnd!$F$5="Bleach", IF(BackEnd!$E$2=2, "BL_%", "BL_Count"),
    BackEnd!$F$5="Edible Oil", IF(BackEnd!$E$2=2, "EO_%", "EO_Count"),
    BackEnd!$F$5="Snacks", IF(BackEnd!$E$2=2, "SK_%", "SK_Count"),
    BackEnd!$F$5="Condiment Mixes", IF(BackEnd!$E$2=2, "CM_%", "CM_Count"),
    BackEnd!$F$5="Wet Hair", IF(BackEnd!$E$2=2, "WH_%", "WH_Count"),
    BackEnd!$F$5="Dry Hair", IF(BackEnd!$E$2=2, "DH_%", "DH_Count"),
    BackEnd!$F$5="Toilet Cleaner", IF(BackEnd!$E$2=2, "TC_%", "TC_Count")
  ) &amp;
  "'!A" &amp;
  MATCH(
    BackEnd!B46,
    INDIRECT("'" &amp;
      _xlfn.IFS(
        BackEnd!$F$5="Noodles", IF(BackEnd!$E$2=2, "N_%", "N_Count"),
        BackEnd!$F$5="Toothpaste", IF(BackEnd!$E$2=2, "TP_%", "TP_Count"),
        BackEnd!$F$5="Breakfast Cereal", IF(BackEnd!$E$2=2, "BC_%", "BC_Count"),
        BackEnd!$F$5="Bleach", IF(BackEnd!$E$2=2, "BL_%", "BL_Count"),
        BackEnd!$F$5="Edible Oil", IF(BackEnd!$E$2=2, "EO_%", "EO_Count"),
        BackEnd!$F$5="Snacks", IF(BackEnd!$E$2=2, "SK_%", "SK_Count"),
        BackEnd!$F$5="Condiment Mixes", IF(BackEnd!$E$2=2, "CM_%", "CM_Count"),
        BackEnd!$F$5="Wet Hair", IF(BackEnd!$E$2=2, "WH_%", "WH_Count"),
        BackEnd!$F$5="Dry Hair", IF(BackEnd!$E$2=2, "DH_%", "DH_Count"),
        BackEnd!$F$5="Toilet Cleaner", IF(BackEnd!$E$2=2, "TC_%", "TC_Count")
      ) &amp; "'!A:A"
    ),
    0
  ),
  BackEnd!B46
),"")</f>
        <v/>
      </c>
      <c r="D50" s="9" t="e">
        <f>IF(BackEnd!C46="","",BackEnd!C46)</f>
        <v>#REF!</v>
      </c>
    </row>
    <row r="51" spans="3:4" x14ac:dyDescent="0.25">
      <c r="C51" s="8" t="str" cm="1">
        <f t="array" aca="1" ref="C51" ca="1">IFERROR(HYPERLINK(
  "#'" &amp;
  _xlfn.IFS(
    BackEnd!$F$5="Noodles", IF(BackEnd!$E$2=2, "N_%", "N_Count"),
    BackEnd!$F$5="Toothpaste", IF(BackEnd!$E$2=2, "TP_%", "TP_Count"),
    BackEnd!$F$5="Breakfast Cereal", IF(BackEnd!$E$2=2, "BC_%", "BC_Count"),
    BackEnd!$F$5="Bleach", IF(BackEnd!$E$2=2, "BL_%", "BL_Count"),
    BackEnd!$F$5="Edible Oil", IF(BackEnd!$E$2=2, "EO_%", "EO_Count"),
    BackEnd!$F$5="Snacks", IF(BackEnd!$E$2=2, "SK_%", "SK_Count"),
    BackEnd!$F$5="Condiment Mixes", IF(BackEnd!$E$2=2, "CM_%", "CM_Count"),
    BackEnd!$F$5="Wet Hair", IF(BackEnd!$E$2=2, "WH_%", "WH_Count"),
    BackEnd!$F$5="Dry Hair", IF(BackEnd!$E$2=2, "DH_%", "DH_Count"),
    BackEnd!$F$5="Toilet Cleaner", IF(BackEnd!$E$2=2, "TC_%", "TC_Count")
  ) &amp;
  "'!A" &amp;
  MATCH(
    BackEnd!B47,
    INDIRECT("'" &amp;
      _xlfn.IFS(
        BackEnd!$F$5="Noodles", IF(BackEnd!$E$2=2, "N_%", "N_Count"),
        BackEnd!$F$5="Toothpaste", IF(BackEnd!$E$2=2, "TP_%", "TP_Count"),
        BackEnd!$F$5="Breakfast Cereal", IF(BackEnd!$E$2=2, "BC_%", "BC_Count"),
        BackEnd!$F$5="Bleach", IF(BackEnd!$E$2=2, "BL_%", "BL_Count"),
        BackEnd!$F$5="Edible Oil", IF(BackEnd!$E$2=2, "EO_%", "EO_Count"),
        BackEnd!$F$5="Snacks", IF(BackEnd!$E$2=2, "SK_%", "SK_Count"),
        BackEnd!$F$5="Condiment Mixes", IF(BackEnd!$E$2=2, "CM_%", "CM_Count"),
        BackEnd!$F$5="Wet Hair", IF(BackEnd!$E$2=2, "WH_%", "WH_Count"),
        BackEnd!$F$5="Dry Hair", IF(BackEnd!$E$2=2, "DH_%", "DH_Count"),
        BackEnd!$F$5="Toilet Cleaner", IF(BackEnd!$E$2=2, "TC_%", "TC_Count")
      ) &amp; "'!A:A"
    ),
    0
  ),
  BackEnd!B47
),"")</f>
        <v/>
      </c>
      <c r="D51" s="9" t="e">
        <f>IF(BackEnd!C47="","",BackEnd!C47)</f>
        <v>#REF!</v>
      </c>
    </row>
    <row r="52" spans="3:4" x14ac:dyDescent="0.25">
      <c r="C52" s="8" t="str" cm="1">
        <f t="array" aca="1" ref="C52" ca="1">IFERROR(HYPERLINK(
  "#'" &amp;
  _xlfn.IFS(
    BackEnd!$F$5="Noodles", IF(BackEnd!$E$2=2, "N_%", "N_Count"),
    BackEnd!$F$5="Toothpaste", IF(BackEnd!$E$2=2, "TP_%", "TP_Count"),
    BackEnd!$F$5="Breakfast Cereal", IF(BackEnd!$E$2=2, "BC_%", "BC_Count"),
    BackEnd!$F$5="Bleach", IF(BackEnd!$E$2=2, "BL_%", "BL_Count"),
    BackEnd!$F$5="Edible Oil", IF(BackEnd!$E$2=2, "EO_%", "EO_Count"),
    BackEnd!$F$5="Snacks", IF(BackEnd!$E$2=2, "SK_%", "SK_Count"),
    BackEnd!$F$5="Condiment Mixes", IF(BackEnd!$E$2=2, "CM_%", "CM_Count"),
    BackEnd!$F$5="Wet Hair", IF(BackEnd!$E$2=2, "WH_%", "WH_Count"),
    BackEnd!$F$5="Dry Hair", IF(BackEnd!$E$2=2, "DH_%", "DH_Count"),
    BackEnd!$F$5="Toilet Cleaner", IF(BackEnd!$E$2=2, "TC_%", "TC_Count")
  ) &amp;
  "'!A" &amp;
  MATCH(
    BackEnd!B48,
    INDIRECT("'" &amp;
      _xlfn.IFS(
        BackEnd!$F$5="Noodles", IF(BackEnd!$E$2=2, "N_%", "N_Count"),
        BackEnd!$F$5="Toothpaste", IF(BackEnd!$E$2=2, "TP_%", "TP_Count"),
        BackEnd!$F$5="Breakfast Cereal", IF(BackEnd!$E$2=2, "BC_%", "BC_Count"),
        BackEnd!$F$5="Bleach", IF(BackEnd!$E$2=2, "BL_%", "BL_Count"),
        BackEnd!$F$5="Edible Oil", IF(BackEnd!$E$2=2, "EO_%", "EO_Count"),
        BackEnd!$F$5="Snacks", IF(BackEnd!$E$2=2, "SK_%", "SK_Count"),
        BackEnd!$F$5="Condiment Mixes", IF(BackEnd!$E$2=2, "CM_%", "CM_Count"),
        BackEnd!$F$5="Wet Hair", IF(BackEnd!$E$2=2, "WH_%", "WH_Count"),
        BackEnd!$F$5="Dry Hair", IF(BackEnd!$E$2=2, "DH_%", "DH_Count"),
        BackEnd!$F$5="Toilet Cleaner", IF(BackEnd!$E$2=2, "TC_%", "TC_Count")
      ) &amp; "'!A:A"
    ),
    0
  ),
  BackEnd!B48
),"")</f>
        <v/>
      </c>
      <c r="D52" s="9" t="e">
        <f>IF(BackEnd!C48="","",BackEnd!C48)</f>
        <v>#REF!</v>
      </c>
    </row>
    <row r="53" spans="3:4" x14ac:dyDescent="0.25">
      <c r="C53" s="8" t="str" cm="1">
        <f t="array" aca="1" ref="C53" ca="1">IFERROR(HYPERLINK(
  "#'" &amp;
  _xlfn.IFS(
    BackEnd!$F$5="Noodles", IF(BackEnd!$E$2=2, "N_%", "N_Count"),
    BackEnd!$F$5="Toothpaste", IF(BackEnd!$E$2=2, "TP_%", "TP_Count"),
    BackEnd!$F$5="Breakfast Cereal", IF(BackEnd!$E$2=2, "BC_%", "BC_Count"),
    BackEnd!$F$5="Bleach", IF(BackEnd!$E$2=2, "BL_%", "BL_Count"),
    BackEnd!$F$5="Edible Oil", IF(BackEnd!$E$2=2, "EO_%", "EO_Count"),
    BackEnd!$F$5="Snacks", IF(BackEnd!$E$2=2, "SK_%", "SK_Count"),
    BackEnd!$F$5="Condiment Mixes", IF(BackEnd!$E$2=2, "CM_%", "CM_Count"),
    BackEnd!$F$5="Wet Hair", IF(BackEnd!$E$2=2, "WH_%", "WH_Count"),
    BackEnd!$F$5="Dry Hair", IF(BackEnd!$E$2=2, "DH_%", "DH_Count"),
    BackEnd!$F$5="Toilet Cleaner", IF(BackEnd!$E$2=2, "TC_%", "TC_Count")
  ) &amp;
  "'!A" &amp;
  MATCH(
    BackEnd!B49,
    INDIRECT("'" &amp;
      _xlfn.IFS(
        BackEnd!$F$5="Noodles", IF(BackEnd!$E$2=2, "N_%", "N_Count"),
        BackEnd!$F$5="Toothpaste", IF(BackEnd!$E$2=2, "TP_%", "TP_Count"),
        BackEnd!$F$5="Breakfast Cereal", IF(BackEnd!$E$2=2, "BC_%", "BC_Count"),
        BackEnd!$F$5="Bleach", IF(BackEnd!$E$2=2, "BL_%", "BL_Count"),
        BackEnd!$F$5="Edible Oil", IF(BackEnd!$E$2=2, "EO_%", "EO_Count"),
        BackEnd!$F$5="Snacks", IF(BackEnd!$E$2=2, "SK_%", "SK_Count"),
        BackEnd!$F$5="Condiment Mixes", IF(BackEnd!$E$2=2, "CM_%", "CM_Count"),
        BackEnd!$F$5="Wet Hair", IF(BackEnd!$E$2=2, "WH_%", "WH_Count"),
        BackEnd!$F$5="Dry Hair", IF(BackEnd!$E$2=2, "DH_%", "DH_Count"),
        BackEnd!$F$5="Toilet Cleaner", IF(BackEnd!$E$2=2, "TC_%", "TC_Count")
      ) &amp; "'!A:A"
    ),
    0
  ),
  BackEnd!B49
),"")</f>
        <v/>
      </c>
      <c r="D53" s="9" t="e">
        <f>IF(BackEnd!C49="","",BackEnd!C49)</f>
        <v>#REF!</v>
      </c>
    </row>
    <row r="54" spans="3:4" x14ac:dyDescent="0.25">
      <c r="C54" s="8" t="str" cm="1">
        <f t="array" aca="1" ref="C54" ca="1">IFERROR(HYPERLINK(
  "#'" &amp;
  _xlfn.IFS(
    BackEnd!$F$5="Noodles", IF(BackEnd!$E$2=2, "N_%", "N_Count"),
    BackEnd!$F$5="Toothpaste", IF(BackEnd!$E$2=2, "TP_%", "TP_Count"),
    BackEnd!$F$5="Breakfast Cereal", IF(BackEnd!$E$2=2, "BC_%", "BC_Count"),
    BackEnd!$F$5="Bleach", IF(BackEnd!$E$2=2, "BL_%", "BL_Count"),
    BackEnd!$F$5="Edible Oil", IF(BackEnd!$E$2=2, "EO_%", "EO_Count"),
    BackEnd!$F$5="Snacks", IF(BackEnd!$E$2=2, "SK_%", "SK_Count"),
    BackEnd!$F$5="Condiment Mixes", IF(BackEnd!$E$2=2, "CM_%", "CM_Count"),
    BackEnd!$F$5="Wet Hair", IF(BackEnd!$E$2=2, "WH_%", "WH_Count"),
    BackEnd!$F$5="Dry Hair", IF(BackEnd!$E$2=2, "DH_%", "DH_Count"),
    BackEnd!$F$5="Toilet Cleaner", IF(BackEnd!$E$2=2, "TC_%", "TC_Count")
  ) &amp;
  "'!A" &amp;
  MATCH(
    BackEnd!B50,
    INDIRECT("'" &amp;
      _xlfn.IFS(
        BackEnd!$F$5="Noodles", IF(BackEnd!$E$2=2, "N_%", "N_Count"),
        BackEnd!$F$5="Toothpaste", IF(BackEnd!$E$2=2, "TP_%", "TP_Count"),
        BackEnd!$F$5="Breakfast Cereal", IF(BackEnd!$E$2=2, "BC_%", "BC_Count"),
        BackEnd!$F$5="Bleach", IF(BackEnd!$E$2=2, "BL_%", "BL_Count"),
        BackEnd!$F$5="Edible Oil", IF(BackEnd!$E$2=2, "EO_%", "EO_Count"),
        BackEnd!$F$5="Snacks", IF(BackEnd!$E$2=2, "SK_%", "SK_Count"),
        BackEnd!$F$5="Condiment Mixes", IF(BackEnd!$E$2=2, "CM_%", "CM_Count"),
        BackEnd!$F$5="Wet Hair", IF(BackEnd!$E$2=2, "WH_%", "WH_Count"),
        BackEnd!$F$5="Dry Hair", IF(BackEnd!$E$2=2, "DH_%", "DH_Count"),
        BackEnd!$F$5="Toilet Cleaner", IF(BackEnd!$E$2=2, "TC_%", "TC_Count")
      ) &amp; "'!A:A"
    ),
    0
  ),
  BackEnd!B50
),"")</f>
        <v/>
      </c>
      <c r="D54" s="9" t="e">
        <f>IF(BackEnd!C50="","",BackEnd!C50)</f>
        <v>#REF!</v>
      </c>
    </row>
    <row r="55" spans="3:4" x14ac:dyDescent="0.25">
      <c r="C55" s="8" t="str" cm="1">
        <f t="array" aca="1" ref="C55" ca="1">IFERROR(HYPERLINK(
  "#'" &amp;
  _xlfn.IFS(
    BackEnd!$F$5="Noodles", IF(BackEnd!$E$2=2, "N_%", "N_Count"),
    BackEnd!$F$5="Toothpaste", IF(BackEnd!$E$2=2, "TP_%", "TP_Count"),
    BackEnd!$F$5="Breakfast Cereal", IF(BackEnd!$E$2=2, "BC_%", "BC_Count"),
    BackEnd!$F$5="Bleach", IF(BackEnd!$E$2=2, "BL_%", "BL_Count"),
    BackEnd!$F$5="Edible Oil", IF(BackEnd!$E$2=2, "EO_%", "EO_Count"),
    BackEnd!$F$5="Snacks", IF(BackEnd!$E$2=2, "SK_%", "SK_Count"),
    BackEnd!$F$5="Condiment Mixes", IF(BackEnd!$E$2=2, "CM_%", "CM_Count"),
    BackEnd!$F$5="Wet Hair", IF(BackEnd!$E$2=2, "WH_%", "WH_Count"),
    BackEnd!$F$5="Dry Hair", IF(BackEnd!$E$2=2, "DH_%", "DH_Count"),
    BackEnd!$F$5="Toilet Cleaner", IF(BackEnd!$E$2=2, "TC_%", "TC_Count")
  ) &amp;
  "'!A" &amp;
  MATCH(
    BackEnd!B51,
    INDIRECT("'" &amp;
      _xlfn.IFS(
        BackEnd!$F$5="Noodles", IF(BackEnd!$E$2=2, "N_%", "N_Count"),
        BackEnd!$F$5="Toothpaste", IF(BackEnd!$E$2=2, "TP_%", "TP_Count"),
        BackEnd!$F$5="Breakfast Cereal", IF(BackEnd!$E$2=2, "BC_%", "BC_Count"),
        BackEnd!$F$5="Bleach", IF(BackEnd!$E$2=2, "BL_%", "BL_Count"),
        BackEnd!$F$5="Edible Oil", IF(BackEnd!$E$2=2, "EO_%", "EO_Count"),
        BackEnd!$F$5="Snacks", IF(BackEnd!$E$2=2, "SK_%", "SK_Count"),
        BackEnd!$F$5="Condiment Mixes", IF(BackEnd!$E$2=2, "CM_%", "CM_Count"),
        BackEnd!$F$5="Wet Hair", IF(BackEnd!$E$2=2, "WH_%", "WH_Count"),
        BackEnd!$F$5="Dry Hair", IF(BackEnd!$E$2=2, "DH_%", "DH_Count"),
        BackEnd!$F$5="Toilet Cleaner", IF(BackEnd!$E$2=2, "TC_%", "TC_Count")
      ) &amp; "'!A:A"
    ),
    0
  ),
  BackEnd!B51
),"")</f>
        <v/>
      </c>
      <c r="D55" s="9" t="e">
        <f>IF(BackEnd!C51="","",BackEnd!C51)</f>
        <v>#REF!</v>
      </c>
    </row>
    <row r="56" spans="3:4" x14ac:dyDescent="0.25">
      <c r="C56" s="8" t="str" cm="1">
        <f t="array" aca="1" ref="C56" ca="1">IFERROR(HYPERLINK(
  "#'" &amp;
  _xlfn.IFS(
    BackEnd!$F$5="Noodles", IF(BackEnd!$E$2=2, "N_%", "N_Count"),
    BackEnd!$F$5="Toothpaste", IF(BackEnd!$E$2=2, "TP_%", "TP_Count"),
    BackEnd!$F$5="Breakfast Cereal", IF(BackEnd!$E$2=2, "BC_%", "BC_Count"),
    BackEnd!$F$5="Bleach", IF(BackEnd!$E$2=2, "BL_%", "BL_Count"),
    BackEnd!$F$5="Edible Oil", IF(BackEnd!$E$2=2, "EO_%", "EO_Count"),
    BackEnd!$F$5="Snacks", IF(BackEnd!$E$2=2, "SK_%", "SK_Count"),
    BackEnd!$F$5="Condiment Mixes", IF(BackEnd!$E$2=2, "CM_%", "CM_Count"),
    BackEnd!$F$5="Wet Hair", IF(BackEnd!$E$2=2, "WH_%", "WH_Count"),
    BackEnd!$F$5="Dry Hair", IF(BackEnd!$E$2=2, "DH_%", "DH_Count"),
    BackEnd!$F$5="Toilet Cleaner", IF(BackEnd!$E$2=2, "TC_%", "TC_Count")
  ) &amp;
  "'!A" &amp;
  MATCH(
    BackEnd!B52,
    INDIRECT("'" &amp;
      _xlfn.IFS(
        BackEnd!$F$5="Noodles", IF(BackEnd!$E$2=2, "N_%", "N_Count"),
        BackEnd!$F$5="Toothpaste", IF(BackEnd!$E$2=2, "TP_%", "TP_Count"),
        BackEnd!$F$5="Breakfast Cereal", IF(BackEnd!$E$2=2, "BC_%", "BC_Count"),
        BackEnd!$F$5="Bleach", IF(BackEnd!$E$2=2, "BL_%", "BL_Count"),
        BackEnd!$F$5="Edible Oil", IF(BackEnd!$E$2=2, "EO_%", "EO_Count"),
        BackEnd!$F$5="Snacks", IF(BackEnd!$E$2=2, "SK_%", "SK_Count"),
        BackEnd!$F$5="Condiment Mixes", IF(BackEnd!$E$2=2, "CM_%", "CM_Count"),
        BackEnd!$F$5="Wet Hair", IF(BackEnd!$E$2=2, "WH_%", "WH_Count"),
        BackEnd!$F$5="Dry Hair", IF(BackEnd!$E$2=2, "DH_%", "DH_Count"),
        BackEnd!$F$5="Toilet Cleaner", IF(BackEnd!$E$2=2, "TC_%", "TC_Count")
      ) &amp; "'!A:A"
    ),
    0
  ),
  BackEnd!B52
),"")</f>
        <v/>
      </c>
      <c r="D56" s="9" t="e">
        <f>IF(BackEnd!C52="","",BackEnd!C52)</f>
        <v>#REF!</v>
      </c>
    </row>
    <row r="57" spans="3:4" x14ac:dyDescent="0.25">
      <c r="C57" s="8" t="str" cm="1">
        <f t="array" aca="1" ref="C57" ca="1">IFERROR(HYPERLINK(
  "#'" &amp;
  _xlfn.IFS(
    BackEnd!$F$5="Noodles", IF(BackEnd!$E$2=2, "N_%", "N_Count"),
    BackEnd!$F$5="Toothpaste", IF(BackEnd!$E$2=2, "TP_%", "TP_Count"),
    BackEnd!$F$5="Breakfast Cereal", IF(BackEnd!$E$2=2, "BC_%", "BC_Count"),
    BackEnd!$F$5="Bleach", IF(BackEnd!$E$2=2, "BL_%", "BL_Count"),
    BackEnd!$F$5="Edible Oil", IF(BackEnd!$E$2=2, "EO_%", "EO_Count"),
    BackEnd!$F$5="Snacks", IF(BackEnd!$E$2=2, "SK_%", "SK_Count"),
    BackEnd!$F$5="Condiment Mixes", IF(BackEnd!$E$2=2, "CM_%", "CM_Count"),
    BackEnd!$F$5="Wet Hair", IF(BackEnd!$E$2=2, "WH_%", "WH_Count"),
    BackEnd!$F$5="Dry Hair", IF(BackEnd!$E$2=2, "DH_%", "DH_Count"),
    BackEnd!$F$5="Toilet Cleaner", IF(BackEnd!$E$2=2, "TC_%", "TC_Count")
  ) &amp;
  "'!A" &amp;
  MATCH(
    BackEnd!B53,
    INDIRECT("'" &amp;
      _xlfn.IFS(
        BackEnd!$F$5="Noodles", IF(BackEnd!$E$2=2, "N_%", "N_Count"),
        BackEnd!$F$5="Toothpaste", IF(BackEnd!$E$2=2, "TP_%", "TP_Count"),
        BackEnd!$F$5="Breakfast Cereal", IF(BackEnd!$E$2=2, "BC_%", "BC_Count"),
        BackEnd!$F$5="Bleach", IF(BackEnd!$E$2=2, "BL_%", "BL_Count"),
        BackEnd!$F$5="Edible Oil", IF(BackEnd!$E$2=2, "EO_%", "EO_Count"),
        BackEnd!$F$5="Snacks", IF(BackEnd!$E$2=2, "SK_%", "SK_Count"),
        BackEnd!$F$5="Condiment Mixes", IF(BackEnd!$E$2=2, "CM_%", "CM_Count"),
        BackEnd!$F$5="Wet Hair", IF(BackEnd!$E$2=2, "WH_%", "WH_Count"),
        BackEnd!$F$5="Dry Hair", IF(BackEnd!$E$2=2, "DH_%", "DH_Count"),
        BackEnd!$F$5="Toilet Cleaner", IF(BackEnd!$E$2=2, "TC_%", "TC_Count")
      ) &amp; "'!A:A"
    ),
    0
  ),
  BackEnd!B53
),"")</f>
        <v/>
      </c>
      <c r="D57" s="9" t="e">
        <f>IF(BackEnd!C53="","",BackEnd!C53)</f>
        <v>#REF!</v>
      </c>
    </row>
    <row r="58" spans="3:4" x14ac:dyDescent="0.25">
      <c r="C58" s="8" t="str" cm="1">
        <f t="array" aca="1" ref="C58" ca="1">IFERROR(HYPERLINK(
  "#'" &amp;
  _xlfn.IFS(
    BackEnd!$F$5="Noodles", IF(BackEnd!$E$2=2, "N_%", "N_Count"),
    BackEnd!$F$5="Toothpaste", IF(BackEnd!$E$2=2, "TP_%", "TP_Count"),
    BackEnd!$F$5="Breakfast Cereal", IF(BackEnd!$E$2=2, "BC_%", "BC_Count"),
    BackEnd!$F$5="Bleach", IF(BackEnd!$E$2=2, "BL_%", "BL_Count"),
    BackEnd!$F$5="Edible Oil", IF(BackEnd!$E$2=2, "EO_%", "EO_Count"),
    BackEnd!$F$5="Snacks", IF(BackEnd!$E$2=2, "SK_%", "SK_Count"),
    BackEnd!$F$5="Condiment Mixes", IF(BackEnd!$E$2=2, "CM_%", "CM_Count"),
    BackEnd!$F$5="Wet Hair", IF(BackEnd!$E$2=2, "WH_%", "WH_Count"),
    BackEnd!$F$5="Dry Hair", IF(BackEnd!$E$2=2, "DH_%", "DH_Count"),
    BackEnd!$F$5="Toilet Cleaner", IF(BackEnd!$E$2=2, "TC_%", "TC_Count")
  ) &amp;
  "'!A" &amp;
  MATCH(
    BackEnd!B54,
    INDIRECT("'" &amp;
      _xlfn.IFS(
        BackEnd!$F$5="Noodles", IF(BackEnd!$E$2=2, "N_%", "N_Count"),
        BackEnd!$F$5="Toothpaste", IF(BackEnd!$E$2=2, "TP_%", "TP_Count"),
        BackEnd!$F$5="Breakfast Cereal", IF(BackEnd!$E$2=2, "BC_%", "BC_Count"),
        BackEnd!$F$5="Bleach", IF(BackEnd!$E$2=2, "BL_%", "BL_Count"),
        BackEnd!$F$5="Edible Oil", IF(BackEnd!$E$2=2, "EO_%", "EO_Count"),
        BackEnd!$F$5="Snacks", IF(BackEnd!$E$2=2, "SK_%", "SK_Count"),
        BackEnd!$F$5="Condiment Mixes", IF(BackEnd!$E$2=2, "CM_%", "CM_Count"),
        BackEnd!$F$5="Wet Hair", IF(BackEnd!$E$2=2, "WH_%", "WH_Count"),
        BackEnd!$F$5="Dry Hair", IF(BackEnd!$E$2=2, "DH_%", "DH_Count"),
        BackEnd!$F$5="Toilet Cleaner", IF(BackEnd!$E$2=2, "TC_%", "TC_Count")
      ) &amp; "'!A:A"
    ),
    0
  ),
  BackEnd!B54
),"")</f>
        <v/>
      </c>
      <c r="D58" s="9" t="e">
        <f>IF(BackEnd!C54="","",BackEnd!C54)</f>
        <v>#REF!</v>
      </c>
    </row>
    <row r="59" spans="3:4" x14ac:dyDescent="0.25">
      <c r="C59" s="8" t="str" cm="1">
        <f t="array" aca="1" ref="C59" ca="1">IFERROR(HYPERLINK(
  "#'" &amp;
  _xlfn.IFS(
    BackEnd!$F$5="Noodles", IF(BackEnd!$E$2=2, "N_%", "N_Count"),
    BackEnd!$F$5="Toothpaste", IF(BackEnd!$E$2=2, "TP_%", "TP_Count"),
    BackEnd!$F$5="Breakfast Cereal", IF(BackEnd!$E$2=2, "BC_%", "BC_Count"),
    BackEnd!$F$5="Bleach", IF(BackEnd!$E$2=2, "BL_%", "BL_Count"),
    BackEnd!$F$5="Edible Oil", IF(BackEnd!$E$2=2, "EO_%", "EO_Count"),
    BackEnd!$F$5="Snacks", IF(BackEnd!$E$2=2, "SK_%", "SK_Count"),
    BackEnd!$F$5="Condiment Mixes", IF(BackEnd!$E$2=2, "CM_%", "CM_Count"),
    BackEnd!$F$5="Wet Hair", IF(BackEnd!$E$2=2, "WH_%", "WH_Count"),
    BackEnd!$F$5="Dry Hair", IF(BackEnd!$E$2=2, "DH_%", "DH_Count"),
    BackEnd!$F$5="Toilet Cleaner", IF(BackEnd!$E$2=2, "TC_%", "TC_Count")
  ) &amp;
  "'!A" &amp;
  MATCH(
    BackEnd!B55,
    INDIRECT("'" &amp;
      _xlfn.IFS(
        BackEnd!$F$5="Noodles", IF(BackEnd!$E$2=2, "N_%", "N_Count"),
        BackEnd!$F$5="Toothpaste", IF(BackEnd!$E$2=2, "TP_%", "TP_Count"),
        BackEnd!$F$5="Breakfast Cereal", IF(BackEnd!$E$2=2, "BC_%", "BC_Count"),
        BackEnd!$F$5="Bleach", IF(BackEnd!$E$2=2, "BL_%", "BL_Count"),
        BackEnd!$F$5="Edible Oil", IF(BackEnd!$E$2=2, "EO_%", "EO_Count"),
        BackEnd!$F$5="Snacks", IF(BackEnd!$E$2=2, "SK_%", "SK_Count"),
        BackEnd!$F$5="Condiment Mixes", IF(BackEnd!$E$2=2, "CM_%", "CM_Count"),
        BackEnd!$F$5="Wet Hair", IF(BackEnd!$E$2=2, "WH_%", "WH_Count"),
        BackEnd!$F$5="Dry Hair", IF(BackEnd!$E$2=2, "DH_%", "DH_Count"),
        BackEnd!$F$5="Toilet Cleaner", IF(BackEnd!$E$2=2, "TC_%", "TC_Count")
      ) &amp; "'!A:A"
    ),
    0
  ),
  BackEnd!B55
),"")</f>
        <v/>
      </c>
      <c r="D59" s="9" t="e">
        <f>IF(BackEnd!C55="","",BackEnd!C55)</f>
        <v>#REF!</v>
      </c>
    </row>
    <row r="60" spans="3:4" x14ac:dyDescent="0.25">
      <c r="C60" s="8" t="str" cm="1">
        <f t="array" aca="1" ref="C60" ca="1">IFERROR(HYPERLINK(
  "#'" &amp;
  _xlfn.IFS(
    BackEnd!$F$5="Noodles", IF(BackEnd!$E$2=2, "N_%", "N_Count"),
    BackEnd!$F$5="Toothpaste", IF(BackEnd!$E$2=2, "TP_%", "TP_Count"),
    BackEnd!$F$5="Breakfast Cereal", IF(BackEnd!$E$2=2, "BC_%", "BC_Count"),
    BackEnd!$F$5="Bleach", IF(BackEnd!$E$2=2, "BL_%", "BL_Count"),
    BackEnd!$F$5="Edible Oil", IF(BackEnd!$E$2=2, "EO_%", "EO_Count"),
    BackEnd!$F$5="Snacks", IF(BackEnd!$E$2=2, "SK_%", "SK_Count"),
    BackEnd!$F$5="Condiment Mixes", IF(BackEnd!$E$2=2, "CM_%", "CM_Count"),
    BackEnd!$F$5="Wet Hair", IF(BackEnd!$E$2=2, "WH_%", "WH_Count"),
    BackEnd!$F$5="Dry Hair", IF(BackEnd!$E$2=2, "DH_%", "DH_Count"),
    BackEnd!$F$5="Toilet Cleaner", IF(BackEnd!$E$2=2, "TC_%", "TC_Count")
  ) &amp;
  "'!A" &amp;
  MATCH(
    BackEnd!B56,
    INDIRECT("'" &amp;
      _xlfn.IFS(
        BackEnd!$F$5="Noodles", IF(BackEnd!$E$2=2, "N_%", "N_Count"),
        BackEnd!$F$5="Toothpaste", IF(BackEnd!$E$2=2, "TP_%", "TP_Count"),
        BackEnd!$F$5="Breakfast Cereal", IF(BackEnd!$E$2=2, "BC_%", "BC_Count"),
        BackEnd!$F$5="Bleach", IF(BackEnd!$E$2=2, "BL_%", "BL_Count"),
        BackEnd!$F$5="Edible Oil", IF(BackEnd!$E$2=2, "EO_%", "EO_Count"),
        BackEnd!$F$5="Snacks", IF(BackEnd!$E$2=2, "SK_%", "SK_Count"),
        BackEnd!$F$5="Condiment Mixes", IF(BackEnd!$E$2=2, "CM_%", "CM_Count"),
        BackEnd!$F$5="Wet Hair", IF(BackEnd!$E$2=2, "WH_%", "WH_Count"),
        BackEnd!$F$5="Dry Hair", IF(BackEnd!$E$2=2, "DH_%", "DH_Count"),
        BackEnd!$F$5="Toilet Cleaner", IF(BackEnd!$E$2=2, "TC_%", "TC_Count")
      ) &amp; "'!A:A"
    ),
    0
  ),
  BackEnd!B56
),"")</f>
        <v/>
      </c>
      <c r="D60" s="9" t="e">
        <f>IF(BackEnd!C56="","",BackEnd!C56)</f>
        <v>#REF!</v>
      </c>
    </row>
    <row r="61" spans="3:4" x14ac:dyDescent="0.25">
      <c r="C61" s="8" t="str" cm="1">
        <f t="array" aca="1" ref="C61" ca="1">IFERROR(HYPERLINK(
  "#'" &amp;
  _xlfn.IFS(
    BackEnd!$F$5="Noodles", IF(BackEnd!$E$2=2, "N_%", "N_Count"),
    BackEnd!$F$5="Toothpaste", IF(BackEnd!$E$2=2, "TP_%", "TP_Count"),
    BackEnd!$F$5="Breakfast Cereal", IF(BackEnd!$E$2=2, "BC_%", "BC_Count"),
    BackEnd!$F$5="Bleach", IF(BackEnd!$E$2=2, "BL_%", "BL_Count"),
    BackEnd!$F$5="Edible Oil", IF(BackEnd!$E$2=2, "EO_%", "EO_Count"),
    BackEnd!$F$5="Snacks", IF(BackEnd!$E$2=2, "SK_%", "SK_Count"),
    BackEnd!$F$5="Condiment Mixes", IF(BackEnd!$E$2=2, "CM_%", "CM_Count"),
    BackEnd!$F$5="Wet Hair", IF(BackEnd!$E$2=2, "WH_%", "WH_Count"),
    BackEnd!$F$5="Dry Hair", IF(BackEnd!$E$2=2, "DH_%", "DH_Count"),
    BackEnd!$F$5="Toilet Cleaner", IF(BackEnd!$E$2=2, "TC_%", "TC_Count")
  ) &amp;
  "'!A" &amp;
  MATCH(
    BackEnd!B57,
    INDIRECT("'" &amp;
      _xlfn.IFS(
        BackEnd!$F$5="Noodles", IF(BackEnd!$E$2=2, "N_%", "N_Count"),
        BackEnd!$F$5="Toothpaste", IF(BackEnd!$E$2=2, "TP_%", "TP_Count"),
        BackEnd!$F$5="Breakfast Cereal", IF(BackEnd!$E$2=2, "BC_%", "BC_Count"),
        BackEnd!$F$5="Bleach", IF(BackEnd!$E$2=2, "BL_%", "BL_Count"),
        BackEnd!$F$5="Edible Oil", IF(BackEnd!$E$2=2, "EO_%", "EO_Count"),
        BackEnd!$F$5="Snacks", IF(BackEnd!$E$2=2, "SK_%", "SK_Count"),
        BackEnd!$F$5="Condiment Mixes", IF(BackEnd!$E$2=2, "CM_%", "CM_Count"),
        BackEnd!$F$5="Wet Hair", IF(BackEnd!$E$2=2, "WH_%", "WH_Count"),
        BackEnd!$F$5="Dry Hair", IF(BackEnd!$E$2=2, "DH_%", "DH_Count"),
        BackEnd!$F$5="Toilet Cleaner", IF(BackEnd!$E$2=2, "TC_%", "TC_Count")
      ) &amp; "'!A:A"
    ),
    0
  ),
  BackEnd!B57
),"")</f>
        <v/>
      </c>
      <c r="D61" s="9" t="e">
        <f>IF(BackEnd!C57="","",BackEnd!C57)</f>
        <v>#REF!</v>
      </c>
    </row>
    <row r="62" spans="3:4" x14ac:dyDescent="0.25">
      <c r="C62" s="8" t="str" cm="1">
        <f t="array" aca="1" ref="C62" ca="1">IFERROR(HYPERLINK(
  "#'" &amp;
  _xlfn.IFS(
    BackEnd!$F$5="Noodles", IF(BackEnd!$E$2=2, "N_%", "N_Count"),
    BackEnd!$F$5="Toothpaste", IF(BackEnd!$E$2=2, "TP_%", "TP_Count"),
    BackEnd!$F$5="Breakfast Cereal", IF(BackEnd!$E$2=2, "BC_%", "BC_Count"),
    BackEnd!$F$5="Bleach", IF(BackEnd!$E$2=2, "BL_%", "BL_Count"),
    BackEnd!$F$5="Edible Oil", IF(BackEnd!$E$2=2, "EO_%", "EO_Count"),
    BackEnd!$F$5="Snacks", IF(BackEnd!$E$2=2, "SK_%", "SK_Count"),
    BackEnd!$F$5="Condiment Mixes", IF(BackEnd!$E$2=2, "CM_%", "CM_Count"),
    BackEnd!$F$5="Wet Hair", IF(BackEnd!$E$2=2, "WH_%", "WH_Count"),
    BackEnd!$F$5="Dry Hair", IF(BackEnd!$E$2=2, "DH_%", "DH_Count"),
    BackEnd!$F$5="Toilet Cleaner", IF(BackEnd!$E$2=2, "TC_%", "TC_Count")
  ) &amp;
  "'!A" &amp;
  MATCH(
    BackEnd!B58,
    INDIRECT("'" &amp;
      _xlfn.IFS(
        BackEnd!$F$5="Noodles", IF(BackEnd!$E$2=2, "N_%", "N_Count"),
        BackEnd!$F$5="Toothpaste", IF(BackEnd!$E$2=2, "TP_%", "TP_Count"),
        BackEnd!$F$5="Breakfast Cereal", IF(BackEnd!$E$2=2, "BC_%", "BC_Count"),
        BackEnd!$F$5="Bleach", IF(BackEnd!$E$2=2, "BL_%", "BL_Count"),
        BackEnd!$F$5="Edible Oil", IF(BackEnd!$E$2=2, "EO_%", "EO_Count"),
        BackEnd!$F$5="Snacks", IF(BackEnd!$E$2=2, "SK_%", "SK_Count"),
        BackEnd!$F$5="Condiment Mixes", IF(BackEnd!$E$2=2, "CM_%", "CM_Count"),
        BackEnd!$F$5="Wet Hair", IF(BackEnd!$E$2=2, "WH_%", "WH_Count"),
        BackEnd!$F$5="Dry Hair", IF(BackEnd!$E$2=2, "DH_%", "DH_Count"),
        BackEnd!$F$5="Toilet Cleaner", IF(BackEnd!$E$2=2, "TC_%", "TC_Count")
      ) &amp; "'!A:A"
    ),
    0
  ),
  BackEnd!B58
),"")</f>
        <v/>
      </c>
      <c r="D62" s="9" t="str">
        <f>IF(BackEnd!C58="","",BackEnd!C58)</f>
        <v/>
      </c>
    </row>
    <row r="63" spans="3:4" x14ac:dyDescent="0.25">
      <c r="C63" s="8" t="str" cm="1">
        <f t="array" aca="1" ref="C63" ca="1">IFERROR(HYPERLINK(
  "#'" &amp;
  _xlfn.IFS(
    BackEnd!$F$5="Noodles", IF(BackEnd!$E$2=2, "N_%", "N_Count"),
    BackEnd!$F$5="Toothpaste", IF(BackEnd!$E$2=2, "TP_%", "TP_Count"),
    BackEnd!$F$5="Breakfast Cereal", IF(BackEnd!$E$2=2, "BC_%", "BC_Count"),
    BackEnd!$F$5="Bleach", IF(BackEnd!$E$2=2, "BL_%", "BL_Count"),
    BackEnd!$F$5="Edible Oil", IF(BackEnd!$E$2=2, "EO_%", "EO_Count"),
    BackEnd!$F$5="Snacks", IF(BackEnd!$E$2=2, "SK_%", "SK_Count"),
    BackEnd!$F$5="Condiment Mixes", IF(BackEnd!$E$2=2, "CM_%", "CM_Count"),
    BackEnd!$F$5="Wet Hair", IF(BackEnd!$E$2=2, "WH_%", "WH_Count"),
    BackEnd!$F$5="Dry Hair", IF(BackEnd!$E$2=2, "DH_%", "DH_Count"),
    BackEnd!$F$5="Toilet Cleaner", IF(BackEnd!$E$2=2, "TC_%", "TC_Count")
  ) &amp;
  "'!A" &amp;
  MATCH(
    BackEnd!B59,
    INDIRECT("'" &amp;
      _xlfn.IFS(
        BackEnd!$F$5="Noodles", IF(BackEnd!$E$2=2, "N_%", "N_Count"),
        BackEnd!$F$5="Toothpaste", IF(BackEnd!$E$2=2, "TP_%", "TP_Count"),
        BackEnd!$F$5="Breakfast Cereal", IF(BackEnd!$E$2=2, "BC_%", "BC_Count"),
        BackEnd!$F$5="Bleach", IF(BackEnd!$E$2=2, "BL_%", "BL_Count"),
        BackEnd!$F$5="Edible Oil", IF(BackEnd!$E$2=2, "EO_%", "EO_Count"),
        BackEnd!$F$5="Snacks", IF(BackEnd!$E$2=2, "SK_%", "SK_Count"),
        BackEnd!$F$5="Condiment Mixes", IF(BackEnd!$E$2=2, "CM_%", "CM_Count"),
        BackEnd!$F$5="Wet Hair", IF(BackEnd!$E$2=2, "WH_%", "WH_Count"),
        BackEnd!$F$5="Dry Hair", IF(BackEnd!$E$2=2, "DH_%", "DH_Count"),
        BackEnd!$F$5="Toilet Cleaner", IF(BackEnd!$E$2=2, "TC_%", "TC_Count")
      ) &amp; "'!A:A"
    ),
    0
  ),
  BackEnd!B59
),"")</f>
        <v/>
      </c>
      <c r="D63" s="9" t="str">
        <f>IF(BackEnd!C59="","",BackEnd!C59)</f>
        <v/>
      </c>
    </row>
    <row r="64" spans="3:4" x14ac:dyDescent="0.25">
      <c r="C64" s="8" t="str" cm="1">
        <f t="array" aca="1" ref="C64" ca="1">IFERROR(HYPERLINK(
  "#'" &amp;
  _xlfn.IFS(
    BackEnd!$F$5="Noodles", IF(BackEnd!$E$2=2, "N_%", "N_Count"),
    BackEnd!$F$5="Toothpaste", IF(BackEnd!$E$2=2, "TP_%", "TP_Count"),
    BackEnd!$F$5="Breakfast Cereal", IF(BackEnd!$E$2=2, "BC_%", "BC_Count"),
    BackEnd!$F$5="Bleach", IF(BackEnd!$E$2=2, "BL_%", "BL_Count"),
    BackEnd!$F$5="Edible Oil", IF(BackEnd!$E$2=2, "EO_%", "EO_Count"),
    BackEnd!$F$5="Snacks", IF(BackEnd!$E$2=2, "SK_%", "SK_Count"),
    BackEnd!$F$5="Condiment Mixes", IF(BackEnd!$E$2=2, "CM_%", "CM_Count"),
    BackEnd!$F$5="Wet Hair", IF(BackEnd!$E$2=2, "WH_%", "WH_Count"),
    BackEnd!$F$5="Dry Hair", IF(BackEnd!$E$2=2, "DH_%", "DH_Count"),
    BackEnd!$F$5="Toilet Cleaner", IF(BackEnd!$E$2=2, "TC_%", "TC_Count")
  ) &amp;
  "'!A" &amp;
  MATCH(
    BackEnd!B60,
    INDIRECT("'" &amp;
      _xlfn.IFS(
        BackEnd!$F$5="Noodles", IF(BackEnd!$E$2=2, "N_%", "N_Count"),
        BackEnd!$F$5="Toothpaste", IF(BackEnd!$E$2=2, "TP_%", "TP_Count"),
        BackEnd!$F$5="Breakfast Cereal", IF(BackEnd!$E$2=2, "BC_%", "BC_Count"),
        BackEnd!$F$5="Bleach", IF(BackEnd!$E$2=2, "BL_%", "BL_Count"),
        BackEnd!$F$5="Edible Oil", IF(BackEnd!$E$2=2, "EO_%", "EO_Count"),
        BackEnd!$F$5="Snacks", IF(BackEnd!$E$2=2, "SK_%", "SK_Count"),
        BackEnd!$F$5="Condiment Mixes", IF(BackEnd!$E$2=2, "CM_%", "CM_Count"),
        BackEnd!$F$5="Wet Hair", IF(BackEnd!$E$2=2, "WH_%", "WH_Count"),
        BackEnd!$F$5="Dry Hair", IF(BackEnd!$E$2=2, "DH_%", "DH_Count"),
        BackEnd!$F$5="Toilet Cleaner", IF(BackEnd!$E$2=2, "TC_%", "TC_Count")
      ) &amp; "'!A:A"
    ),
    0
  ),
  BackEnd!B60
),"")</f>
        <v/>
      </c>
      <c r="D64" s="9" t="str">
        <f>IF(BackEnd!C60="","",BackEnd!C60)</f>
        <v/>
      </c>
    </row>
    <row r="65" spans="3:4" x14ac:dyDescent="0.25">
      <c r="C65" s="8" t="str" cm="1">
        <f t="array" aca="1" ref="C65" ca="1">IFERROR(HYPERLINK(
  "#'" &amp;
  _xlfn.IFS(
    BackEnd!$F$5="Noodles", IF(BackEnd!$E$2=2, "N_%", "N_Count"),
    BackEnd!$F$5="Toothpaste", IF(BackEnd!$E$2=2, "TP_%", "TP_Count"),
    BackEnd!$F$5="Breakfast Cereal", IF(BackEnd!$E$2=2, "BC_%", "BC_Count"),
    BackEnd!$F$5="Bleach", IF(BackEnd!$E$2=2, "BL_%", "BL_Count"),
    BackEnd!$F$5="Edible Oil", IF(BackEnd!$E$2=2, "EO_%", "EO_Count"),
    BackEnd!$F$5="Snacks", IF(BackEnd!$E$2=2, "SK_%", "SK_Count"),
    BackEnd!$F$5="Condiment Mixes", IF(BackEnd!$E$2=2, "CM_%", "CM_Count"),
    BackEnd!$F$5="Wet Hair", IF(BackEnd!$E$2=2, "WH_%", "WH_Count"),
    BackEnd!$F$5="Dry Hair", IF(BackEnd!$E$2=2, "DH_%", "DH_Count"),
    BackEnd!$F$5="Toilet Cleaner", IF(BackEnd!$E$2=2, "TC_%", "TC_Count")
  ) &amp;
  "'!A" &amp;
  MATCH(
    BackEnd!B61,
    INDIRECT("'" &amp;
      _xlfn.IFS(
        BackEnd!$F$5="Noodles", IF(BackEnd!$E$2=2, "N_%", "N_Count"),
        BackEnd!$F$5="Toothpaste", IF(BackEnd!$E$2=2, "TP_%", "TP_Count"),
        BackEnd!$F$5="Breakfast Cereal", IF(BackEnd!$E$2=2, "BC_%", "BC_Count"),
        BackEnd!$F$5="Bleach", IF(BackEnd!$E$2=2, "BL_%", "BL_Count"),
        BackEnd!$F$5="Edible Oil", IF(BackEnd!$E$2=2, "EO_%", "EO_Count"),
        BackEnd!$F$5="Snacks", IF(BackEnd!$E$2=2, "SK_%", "SK_Count"),
        BackEnd!$F$5="Condiment Mixes", IF(BackEnd!$E$2=2, "CM_%", "CM_Count"),
        BackEnd!$F$5="Wet Hair", IF(BackEnd!$E$2=2, "WH_%", "WH_Count"),
        BackEnd!$F$5="Dry Hair", IF(BackEnd!$E$2=2, "DH_%", "DH_Count"),
        BackEnd!$F$5="Toilet Cleaner", IF(BackEnd!$E$2=2, "TC_%", "TC_Count")
      ) &amp; "'!A:A"
    ),
    0
  ),
  BackEnd!B61
),"")</f>
        <v/>
      </c>
      <c r="D65" s="9" t="str">
        <f>IF(BackEnd!C61="","",BackEnd!C61)</f>
        <v/>
      </c>
    </row>
    <row r="66" spans="3:4" x14ac:dyDescent="0.25">
      <c r="C66" s="8" t="str" cm="1">
        <f t="array" aca="1" ref="C66" ca="1">IFERROR(HYPERLINK(
  "#'" &amp;
  _xlfn.IFS(
    BackEnd!$F$5="Noodles", IF(BackEnd!$E$2=2, "N_%", "N_Count"),
    BackEnd!$F$5="Toothpaste", IF(BackEnd!$E$2=2, "TP_%", "TP_Count"),
    BackEnd!$F$5="Breakfast Cereal", IF(BackEnd!$E$2=2, "BC_%", "BC_Count"),
    BackEnd!$F$5="Bleach", IF(BackEnd!$E$2=2, "BL_%", "BL_Count"),
    BackEnd!$F$5="Edible Oil", IF(BackEnd!$E$2=2, "EO_%", "EO_Count"),
    BackEnd!$F$5="Snacks", IF(BackEnd!$E$2=2, "SK_%", "SK_Count"),
    BackEnd!$F$5="Condiment Mixes", IF(BackEnd!$E$2=2, "CM_%", "CM_Count"),
    BackEnd!$F$5="Wet Hair", IF(BackEnd!$E$2=2, "WH_%", "WH_Count"),
    BackEnd!$F$5="Dry Hair", IF(BackEnd!$E$2=2, "DH_%", "DH_Count"),
    BackEnd!$F$5="Toilet Cleaner", IF(BackEnd!$E$2=2, "TC_%", "TC_Count")
  ) &amp;
  "'!A" &amp;
  MATCH(
    BackEnd!B62,
    INDIRECT("'" &amp;
      _xlfn.IFS(
        BackEnd!$F$5="Noodles", IF(BackEnd!$E$2=2, "N_%", "N_Count"),
        BackEnd!$F$5="Toothpaste", IF(BackEnd!$E$2=2, "TP_%", "TP_Count"),
        BackEnd!$F$5="Breakfast Cereal", IF(BackEnd!$E$2=2, "BC_%", "BC_Count"),
        BackEnd!$F$5="Bleach", IF(BackEnd!$E$2=2, "BL_%", "BL_Count"),
        BackEnd!$F$5="Edible Oil", IF(BackEnd!$E$2=2, "EO_%", "EO_Count"),
        BackEnd!$F$5="Snacks", IF(BackEnd!$E$2=2, "SK_%", "SK_Count"),
        BackEnd!$F$5="Condiment Mixes", IF(BackEnd!$E$2=2, "CM_%", "CM_Count"),
        BackEnd!$F$5="Wet Hair", IF(BackEnd!$E$2=2, "WH_%", "WH_Count"),
        BackEnd!$F$5="Dry Hair", IF(BackEnd!$E$2=2, "DH_%", "DH_Count"),
        BackEnd!$F$5="Toilet Cleaner", IF(BackEnd!$E$2=2, "TC_%", "TC_Count")
      ) &amp; "'!A:A"
    ),
    0
  ),
  BackEnd!B62
),"")</f>
        <v/>
      </c>
      <c r="D66" s="9" t="str">
        <f>IF(BackEnd!C62="","",BackEnd!C62)</f>
        <v/>
      </c>
    </row>
    <row r="67" spans="3:4" x14ac:dyDescent="0.25">
      <c r="C67" s="8" t="str" cm="1">
        <f t="array" aca="1" ref="C67" ca="1">IFERROR(HYPERLINK(
  "#'" &amp;
  _xlfn.IFS(
    BackEnd!$F$5="Noodles", IF(BackEnd!$E$2=2, "N_%", "N_Count"),
    BackEnd!$F$5="Toothpaste", IF(BackEnd!$E$2=2, "TP_%", "TP_Count"),
    BackEnd!$F$5="Breakfast Cereal", IF(BackEnd!$E$2=2, "BC_%", "BC_Count"),
    BackEnd!$F$5="Bleach", IF(BackEnd!$E$2=2, "BL_%", "BL_Count"),
    BackEnd!$F$5="Edible Oil", IF(BackEnd!$E$2=2, "EO_%", "EO_Count"),
    BackEnd!$F$5="Snacks", IF(BackEnd!$E$2=2, "SK_%", "SK_Count"),
    BackEnd!$F$5="Condiment Mixes", IF(BackEnd!$E$2=2, "CM_%", "CM_Count"),
    BackEnd!$F$5="Wet Hair", IF(BackEnd!$E$2=2, "WH_%", "WH_Count"),
    BackEnd!$F$5="Dry Hair", IF(BackEnd!$E$2=2, "DH_%", "DH_Count"),
    BackEnd!$F$5="Toilet Cleaner", IF(BackEnd!$E$2=2, "TC_%", "TC_Count")
  ) &amp;
  "'!A" &amp;
  MATCH(
    BackEnd!B63,
    INDIRECT("'" &amp;
      _xlfn.IFS(
        BackEnd!$F$5="Noodles", IF(BackEnd!$E$2=2, "N_%", "N_Count"),
        BackEnd!$F$5="Toothpaste", IF(BackEnd!$E$2=2, "TP_%", "TP_Count"),
        BackEnd!$F$5="Breakfast Cereal", IF(BackEnd!$E$2=2, "BC_%", "BC_Count"),
        BackEnd!$F$5="Bleach", IF(BackEnd!$E$2=2, "BL_%", "BL_Count"),
        BackEnd!$F$5="Edible Oil", IF(BackEnd!$E$2=2, "EO_%", "EO_Count"),
        BackEnd!$F$5="Snacks", IF(BackEnd!$E$2=2, "SK_%", "SK_Count"),
        BackEnd!$F$5="Condiment Mixes", IF(BackEnd!$E$2=2, "CM_%", "CM_Count"),
        BackEnd!$F$5="Wet Hair", IF(BackEnd!$E$2=2, "WH_%", "WH_Count"),
        BackEnd!$F$5="Dry Hair", IF(BackEnd!$E$2=2, "DH_%", "DH_Count"),
        BackEnd!$F$5="Toilet Cleaner", IF(BackEnd!$E$2=2, "TC_%", "TC_Count")
      ) &amp; "'!A:A"
    ),
    0
  ),
  BackEnd!B63
),"")</f>
        <v/>
      </c>
      <c r="D67" s="9" t="str">
        <f>IF(BackEnd!C63="","",BackEnd!C63)</f>
        <v/>
      </c>
    </row>
    <row r="68" spans="3:4" x14ac:dyDescent="0.25">
      <c r="C68" s="8" t="str" cm="1">
        <f t="array" aca="1" ref="C68" ca="1">IFERROR(HYPERLINK(
  "#'" &amp;
  _xlfn.IFS(
    BackEnd!$F$5="Noodles", IF(BackEnd!$E$2=2, "N_%", "N_Count"),
    BackEnd!$F$5="Toothpaste", IF(BackEnd!$E$2=2, "TP_%", "TP_Count"),
    BackEnd!$F$5="Breakfast Cereal", IF(BackEnd!$E$2=2, "BC_%", "BC_Count"),
    BackEnd!$F$5="Bleach", IF(BackEnd!$E$2=2, "BL_%", "BL_Count"),
    BackEnd!$F$5="Edible Oil", IF(BackEnd!$E$2=2, "EO_%", "EO_Count"),
    BackEnd!$F$5="Snacks", IF(BackEnd!$E$2=2, "SK_%", "SK_Count"),
    BackEnd!$F$5="Condiment Mixes", IF(BackEnd!$E$2=2, "CM_%", "CM_Count"),
    BackEnd!$F$5="Wet Hair", IF(BackEnd!$E$2=2, "WH_%", "WH_Count"),
    BackEnd!$F$5="Dry Hair", IF(BackEnd!$E$2=2, "DH_%", "DH_Count"),
    BackEnd!$F$5="Toilet Cleaner", IF(BackEnd!$E$2=2, "TC_%", "TC_Count")
  ) &amp;
  "'!A" &amp;
  MATCH(
    BackEnd!B64,
    INDIRECT("'" &amp;
      _xlfn.IFS(
        BackEnd!$F$5="Noodles", IF(BackEnd!$E$2=2, "N_%", "N_Count"),
        BackEnd!$F$5="Toothpaste", IF(BackEnd!$E$2=2, "TP_%", "TP_Count"),
        BackEnd!$F$5="Breakfast Cereal", IF(BackEnd!$E$2=2, "BC_%", "BC_Count"),
        BackEnd!$F$5="Bleach", IF(BackEnd!$E$2=2, "BL_%", "BL_Count"),
        BackEnd!$F$5="Edible Oil", IF(BackEnd!$E$2=2, "EO_%", "EO_Count"),
        BackEnd!$F$5="Snacks", IF(BackEnd!$E$2=2, "SK_%", "SK_Count"),
        BackEnd!$F$5="Condiment Mixes", IF(BackEnd!$E$2=2, "CM_%", "CM_Count"),
        BackEnd!$F$5="Wet Hair", IF(BackEnd!$E$2=2, "WH_%", "WH_Count"),
        BackEnd!$F$5="Dry Hair", IF(BackEnd!$E$2=2, "DH_%", "DH_Count"),
        BackEnd!$F$5="Toilet Cleaner", IF(BackEnd!$E$2=2, "TC_%", "TC_Count")
      ) &amp; "'!A:A"
    ),
    0
  ),
  BackEnd!B64
),"")</f>
        <v/>
      </c>
      <c r="D68" s="9" t="str">
        <f>IF(BackEnd!C64="","",BackEnd!C64)</f>
        <v/>
      </c>
    </row>
    <row r="69" spans="3:4" x14ac:dyDescent="0.25">
      <c r="C69" s="8" t="str" cm="1">
        <f t="array" aca="1" ref="C69" ca="1">IFERROR(HYPERLINK(
  "#'" &amp;
  _xlfn.IFS(
    BackEnd!$F$5="Noodles", IF(BackEnd!$E$2=2, "N_%", "N_Count"),
    BackEnd!$F$5="Toothpaste", IF(BackEnd!$E$2=2, "TP_%", "TP_Count"),
    BackEnd!$F$5="Breakfast Cereal", IF(BackEnd!$E$2=2, "BC_%", "BC_Count"),
    BackEnd!$F$5="Bleach", IF(BackEnd!$E$2=2, "BL_%", "BL_Count"),
    BackEnd!$F$5="Edible Oil", IF(BackEnd!$E$2=2, "EO_%", "EO_Count"),
    BackEnd!$F$5="Snacks", IF(BackEnd!$E$2=2, "SK_%", "SK_Count"),
    BackEnd!$F$5="Condiment Mixes", IF(BackEnd!$E$2=2, "CM_%", "CM_Count"),
    BackEnd!$F$5="Wet Hair", IF(BackEnd!$E$2=2, "WH_%", "WH_Count"),
    BackEnd!$F$5="Dry Hair", IF(BackEnd!$E$2=2, "DH_%", "DH_Count"),
    BackEnd!$F$5="Toilet Cleaner", IF(BackEnd!$E$2=2, "TC_%", "TC_Count")
  ) &amp;
  "'!A" &amp;
  MATCH(
    BackEnd!B65,
    INDIRECT("'" &amp;
      _xlfn.IFS(
        BackEnd!$F$5="Noodles", IF(BackEnd!$E$2=2, "N_%", "N_Count"),
        BackEnd!$F$5="Toothpaste", IF(BackEnd!$E$2=2, "TP_%", "TP_Count"),
        BackEnd!$F$5="Breakfast Cereal", IF(BackEnd!$E$2=2, "BC_%", "BC_Count"),
        BackEnd!$F$5="Bleach", IF(BackEnd!$E$2=2, "BL_%", "BL_Count"),
        BackEnd!$F$5="Edible Oil", IF(BackEnd!$E$2=2, "EO_%", "EO_Count"),
        BackEnd!$F$5="Snacks", IF(BackEnd!$E$2=2, "SK_%", "SK_Count"),
        BackEnd!$F$5="Condiment Mixes", IF(BackEnd!$E$2=2, "CM_%", "CM_Count"),
        BackEnd!$F$5="Wet Hair", IF(BackEnd!$E$2=2, "WH_%", "WH_Count"),
        BackEnd!$F$5="Dry Hair", IF(BackEnd!$E$2=2, "DH_%", "DH_Count"),
        BackEnd!$F$5="Toilet Cleaner", IF(BackEnd!$E$2=2, "TC_%", "TC_Count")
      ) &amp; "'!A:A"
    ),
    0
  ),
  BackEnd!B65
),"")</f>
        <v/>
      </c>
      <c r="D69" s="9" t="str">
        <f>IF(BackEnd!C65="","",BackEnd!C65)</f>
        <v/>
      </c>
    </row>
  </sheetData>
  <mergeCells count="1">
    <mergeCell ref="C8:D8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1505" r:id="rId3" name="Option Button 1">
              <controlPr defaultSize="0" autoFill="0" autoLine="0" autoPict="0">
                <anchor moveWithCells="1">
                  <from>
                    <xdr:col>2</xdr:col>
                    <xdr:colOff>38100</xdr:colOff>
                    <xdr:row>3</xdr:row>
                    <xdr:rowOff>76200</xdr:rowOff>
                  </from>
                  <to>
                    <xdr:col>2</xdr:col>
                    <xdr:colOff>657225</xdr:colOff>
                    <xdr:row>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06" r:id="rId4" name="Option Button 2">
              <controlPr defaultSize="0" autoFill="0" autoLine="0" autoPict="0">
                <anchor moveWithCells="1">
                  <from>
                    <xdr:col>2</xdr:col>
                    <xdr:colOff>66675</xdr:colOff>
                    <xdr:row>5</xdr:row>
                    <xdr:rowOff>28575</xdr:rowOff>
                  </from>
                  <to>
                    <xdr:col>2</xdr:col>
                    <xdr:colOff>666750</xdr:colOff>
                    <xdr:row>6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07" r:id="rId5" name="Drop Down 3">
              <controlPr defaultSize="0" autoLine="0" autoPict="0">
                <anchor moveWithCells="1">
                  <from>
                    <xdr:col>2</xdr:col>
                    <xdr:colOff>3990975</xdr:colOff>
                    <xdr:row>3</xdr:row>
                    <xdr:rowOff>104775</xdr:rowOff>
                  </from>
                  <to>
                    <xdr:col>3</xdr:col>
                    <xdr:colOff>104775</xdr:colOff>
                    <xdr:row>5</xdr:row>
                    <xdr:rowOff>28575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8210F-0641-43F6-BE1C-70ED5604A470}">
  <dimension ref="A1:DP81"/>
  <sheetViews>
    <sheetView topLeftCell="U1" workbookViewId="0">
      <selection activeCell="AA13" sqref="AA13"/>
    </sheetView>
  </sheetViews>
  <sheetFormatPr defaultRowHeight="15" x14ac:dyDescent="0.25"/>
  <cols>
    <col min="2" max="2" width="46.5703125" customWidth="1"/>
    <col min="5" max="5" width="28.7109375" customWidth="1"/>
    <col min="7" max="8" width="11.28515625" customWidth="1"/>
    <col min="14" max="14" width="78.7109375" customWidth="1"/>
    <col min="19" max="19" width="53.85546875" customWidth="1"/>
    <col min="24" max="24" width="31.85546875" customWidth="1"/>
    <col min="28" max="28" width="11.28515625" customWidth="1"/>
    <col min="29" max="29" width="25.85546875" customWidth="1"/>
    <col min="33" max="33" width="19.140625" customWidth="1"/>
    <col min="38" max="38" width="23.85546875" customWidth="1"/>
    <col min="43" max="43" width="22" customWidth="1"/>
    <col min="48" max="48" width="41.85546875" customWidth="1"/>
    <col min="53" max="53" width="17.5703125" customWidth="1"/>
    <col min="58" max="58" width="20" customWidth="1"/>
  </cols>
  <sheetData>
    <row r="1" spans="1:120" ht="14.45" customHeight="1" x14ac:dyDescent="0.25">
      <c r="E1" t="s">
        <v>407</v>
      </c>
      <c r="M1" s="11" t="s">
        <v>408</v>
      </c>
      <c r="N1" s="11"/>
      <c r="O1" s="11"/>
      <c r="P1" s="11"/>
      <c r="Q1" s="11"/>
      <c r="R1" s="11" t="s">
        <v>409</v>
      </c>
      <c r="S1" s="11"/>
      <c r="T1" s="11"/>
      <c r="U1" s="11"/>
      <c r="V1" s="11"/>
      <c r="W1" s="11" t="s">
        <v>410</v>
      </c>
      <c r="X1" s="11"/>
      <c r="Y1" s="11"/>
      <c r="Z1" s="11"/>
      <c r="AA1" s="11"/>
      <c r="AB1" s="11" t="s">
        <v>411</v>
      </c>
      <c r="AC1" s="11"/>
      <c r="AD1" s="11"/>
      <c r="AE1" s="11"/>
      <c r="AF1" s="11" t="s">
        <v>412</v>
      </c>
      <c r="AG1" s="11"/>
      <c r="AH1" s="11"/>
      <c r="AI1" s="11"/>
      <c r="AJ1" s="11"/>
      <c r="AK1" s="11" t="s">
        <v>413</v>
      </c>
      <c r="AL1" s="11"/>
      <c r="AM1" s="11"/>
      <c r="AN1" s="11"/>
      <c r="AO1" s="11"/>
      <c r="AP1" s="11" t="s">
        <v>414</v>
      </c>
      <c r="AQ1" s="11"/>
      <c r="AR1" s="11"/>
      <c r="AS1" s="11"/>
      <c r="AT1" s="11"/>
      <c r="AU1" s="11" t="s">
        <v>415</v>
      </c>
      <c r="AV1" s="11"/>
      <c r="AW1" s="11"/>
      <c r="AX1" s="11"/>
      <c r="AY1" s="11"/>
      <c r="AZ1" s="11" t="s">
        <v>416</v>
      </c>
      <c r="BA1" s="11"/>
      <c r="BB1" s="11"/>
      <c r="BC1" s="11"/>
      <c r="BD1" s="11"/>
      <c r="BE1" s="11" t="s">
        <v>417</v>
      </c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3"/>
      <c r="DM1" s="1"/>
      <c r="DN1" s="1"/>
      <c r="DO1" s="1"/>
      <c r="DP1" s="1"/>
    </row>
    <row r="2" spans="1:120" ht="15" customHeight="1" x14ac:dyDescent="0.25">
      <c r="E2">
        <v>1</v>
      </c>
      <c r="H2">
        <v>1</v>
      </c>
      <c r="I2" t="s">
        <v>408</v>
      </c>
      <c r="M2" t="s">
        <v>418</v>
      </c>
      <c r="N2" s="14" t="s">
        <v>202</v>
      </c>
      <c r="O2" t="e" cm="1">
        <f t="array" ref="O2">INDEX(#REF!,MATCH(BackEnd!N2,#REF!,0)+6,3)</f>
        <v>#REF!</v>
      </c>
      <c r="R2" t="s">
        <v>418</v>
      </c>
      <c r="S2" s="15" t="s">
        <v>330</v>
      </c>
      <c r="T2" t="e" cm="1">
        <f t="array" ref="T2">INDEX(#REF!,MATCH(BackEnd!S2,#REF!,0)+6,3)</f>
        <v>#REF!</v>
      </c>
      <c r="W2" t="s">
        <v>418</v>
      </c>
      <c r="X2" s="16" t="s">
        <v>0</v>
      </c>
      <c r="Y2" s="17" t="e" cm="1">
        <f t="array" ref="Y2">INDEX(#REF!,MATCH(BackEnd!X2,#REF!,0)+6,3)</f>
        <v>#REF!</v>
      </c>
      <c r="Z2" s="17"/>
      <c r="AA2" s="17"/>
      <c r="AB2" t="s">
        <v>418</v>
      </c>
      <c r="AC2" s="18" t="s">
        <v>58</v>
      </c>
      <c r="AD2" s="19" t="e" cm="1">
        <f t="array" ref="AD2">INDEX(#REF!,MATCH(BackEnd!AC2,#REF!,0)+6,3)</f>
        <v>#REF!</v>
      </c>
      <c r="AE2" s="19"/>
      <c r="AF2" t="s">
        <v>418</v>
      </c>
      <c r="AG2" s="20" t="s">
        <v>161</v>
      </c>
      <c r="AH2" s="19" t="e" cm="1">
        <f t="array" ref="AH2">INDEX(#REF!,MATCH(BackEnd!AG2,#REF!,0)+6,3)</f>
        <v>#REF!</v>
      </c>
      <c r="AI2" s="19"/>
      <c r="AJ2" s="19"/>
      <c r="AK2" t="s">
        <v>418</v>
      </c>
      <c r="AL2" s="21" t="s">
        <v>254</v>
      </c>
      <c r="AM2" s="19" t="e" cm="1">
        <f t="array" ref="AM2">INDEX(#REF!,MATCH(BackEnd!AL2,#REF!,0)+6,3)</f>
        <v>#REF!</v>
      </c>
      <c r="AN2" s="19"/>
      <c r="AO2" s="19"/>
      <c r="AP2" t="s">
        <v>418</v>
      </c>
      <c r="AQ2" s="22" t="s">
        <v>91</v>
      </c>
      <c r="AR2" s="19" t="e" cm="1">
        <f t="array" ref="AR2">INDEX(#REF!,MATCH(BackEnd!AQ2,#REF!,0)+6,3)</f>
        <v>#REF!</v>
      </c>
      <c r="AS2" s="19"/>
      <c r="AT2" s="19"/>
      <c r="AU2" t="s">
        <v>418</v>
      </c>
      <c r="AV2" s="23" t="s">
        <v>419</v>
      </c>
      <c r="AW2" t="e" cm="1">
        <f t="array" ref="AW2">INDEX(#REF!,MATCH(BackEnd!AV2,#REF!,0)+0,3)</f>
        <v>#REF!</v>
      </c>
      <c r="AY2" s="24"/>
      <c r="AZ2" t="s">
        <v>418</v>
      </c>
      <c r="BA2" s="25" t="s">
        <v>128</v>
      </c>
      <c r="BB2" s="19" t="e" cm="1">
        <f t="array" ref="BB2">INDEX(#REF!,MATCH(BackEnd!BA2,#REF!,0)+6,3)</f>
        <v>#REF!</v>
      </c>
      <c r="BC2" s="24"/>
      <c r="BD2" s="24"/>
      <c r="BE2" t="s">
        <v>418</v>
      </c>
      <c r="BF2" s="26" t="s">
        <v>295</v>
      </c>
      <c r="BG2" s="27" t="e" cm="1">
        <f t="array" ref="BG2">INDEX(#REF!,MATCH(BackEnd!BF2,#REF!,0)+6,3)</f>
        <v>#REF!</v>
      </c>
      <c r="BH2" s="27"/>
      <c r="BI2" s="27"/>
      <c r="BJ2" s="27"/>
      <c r="BK2" s="27"/>
      <c r="BL2" s="27"/>
      <c r="BM2" s="27"/>
      <c r="BO2" s="12"/>
      <c r="BP2" s="12"/>
      <c r="BQ2" s="12"/>
      <c r="BR2" s="12"/>
      <c r="BS2" s="12"/>
      <c r="BT2" s="12"/>
      <c r="BU2" s="12"/>
      <c r="BV2" s="12"/>
      <c r="BW2" s="12"/>
      <c r="BX2" s="12"/>
      <c r="BY2" s="12"/>
      <c r="BZ2" s="12"/>
      <c r="CA2" s="12"/>
      <c r="CB2" s="12"/>
      <c r="CC2" s="12"/>
      <c r="CD2" s="12"/>
      <c r="CE2" s="12"/>
      <c r="CF2" s="12"/>
      <c r="CG2" s="12"/>
      <c r="CH2" s="12"/>
      <c r="CI2" s="12"/>
      <c r="CJ2" s="12"/>
      <c r="CK2" s="12"/>
      <c r="CL2" s="12"/>
      <c r="CM2" s="12"/>
      <c r="CN2" s="12"/>
      <c r="CO2" s="12"/>
      <c r="CP2" s="12"/>
      <c r="CQ2" s="12"/>
      <c r="CR2" s="12"/>
      <c r="CS2" s="12"/>
      <c r="CT2" s="12"/>
      <c r="CU2" s="12"/>
      <c r="CV2" s="12"/>
      <c r="CW2" s="12"/>
      <c r="CX2" s="12"/>
      <c r="CY2" s="12"/>
      <c r="CZ2" s="12"/>
      <c r="DA2" s="12"/>
      <c r="DB2" s="12"/>
      <c r="DC2" s="12"/>
      <c r="DD2" s="12"/>
      <c r="DE2" s="12"/>
      <c r="DF2" s="12"/>
      <c r="DG2" s="12"/>
      <c r="DH2" s="12"/>
      <c r="DI2" s="12"/>
      <c r="DJ2" s="12"/>
      <c r="DK2" s="12"/>
      <c r="DL2" s="12"/>
      <c r="DM2" s="12"/>
      <c r="DN2" s="12"/>
      <c r="DO2" s="12"/>
      <c r="DP2" s="13"/>
    </row>
    <row r="3" spans="1:120" ht="15" customHeight="1" x14ac:dyDescent="0.25">
      <c r="H3">
        <v>2</v>
      </c>
      <c r="I3" t="s">
        <v>409</v>
      </c>
      <c r="M3" t="s">
        <v>420</v>
      </c>
      <c r="N3" s="14" t="s">
        <v>203</v>
      </c>
      <c r="O3" t="e" cm="1">
        <f t="array" ref="O3">INDEX(#REF!,MATCH(BackEnd!N3,#REF!,0)+6,3)</f>
        <v>#REF!</v>
      </c>
      <c r="R3" t="s">
        <v>420</v>
      </c>
      <c r="S3" s="15" t="s">
        <v>331</v>
      </c>
      <c r="T3" t="e" cm="1">
        <f t="array" ref="T3">INDEX(#REF!,MATCH(BackEnd!S3,#REF!,0)+6,3)</f>
        <v>#REF!</v>
      </c>
      <c r="W3" t="s">
        <v>420</v>
      </c>
      <c r="X3" s="16" t="s">
        <v>1</v>
      </c>
      <c r="Y3" s="17" t="e" cm="1">
        <f t="array" ref="Y3">INDEX(#REF!,MATCH(BackEnd!X3,#REF!,0)+6,3)</f>
        <v>#REF!</v>
      </c>
      <c r="Z3" s="17"/>
      <c r="AA3" s="17"/>
      <c r="AB3" t="s">
        <v>420</v>
      </c>
      <c r="AC3" s="18" t="s">
        <v>59</v>
      </c>
      <c r="AD3" s="19" t="e" cm="1">
        <f t="array" ref="AD3">INDEX(#REF!,MATCH(BackEnd!AC3,#REF!,0)+6,3)</f>
        <v>#REF!</v>
      </c>
      <c r="AE3" s="19"/>
      <c r="AF3" t="s">
        <v>420</v>
      </c>
      <c r="AG3" s="20" t="s">
        <v>162</v>
      </c>
      <c r="AH3" s="19" t="e" cm="1">
        <f t="array" ref="AH3">INDEX(#REF!,MATCH(BackEnd!AG3,#REF!,0)+6,3)</f>
        <v>#REF!</v>
      </c>
      <c r="AI3" s="19"/>
      <c r="AJ3" s="19"/>
      <c r="AK3" t="s">
        <v>420</v>
      </c>
      <c r="AL3" s="21" t="s">
        <v>255</v>
      </c>
      <c r="AM3" s="19" t="e" cm="1">
        <f t="array" ref="AM3">INDEX(#REF!,MATCH(BackEnd!AL3,#REF!,0)+6,3)</f>
        <v>#REF!</v>
      </c>
      <c r="AN3" s="19"/>
      <c r="AO3" s="19"/>
      <c r="AP3" t="s">
        <v>420</v>
      </c>
      <c r="AQ3" s="22" t="s">
        <v>92</v>
      </c>
      <c r="AR3" s="19" t="e" cm="1">
        <f t="array" ref="AR3">INDEX(#REF!,MATCH(BackEnd!AQ3,#REF!,0)+6,3)</f>
        <v>#REF!</v>
      </c>
      <c r="AS3" s="19"/>
      <c r="AT3" s="19"/>
      <c r="AU3" t="s">
        <v>420</v>
      </c>
      <c r="AV3" s="28" t="s">
        <v>372</v>
      </c>
      <c r="AW3" t="e" cm="1">
        <f t="array" ref="AW3">INDEX(#REF!,MATCH(BackEnd!AV3,#REF!,0)+6,3)</f>
        <v>#REF!</v>
      </c>
      <c r="AY3" s="24"/>
      <c r="AZ3" t="s">
        <v>420</v>
      </c>
      <c r="BA3" s="25" t="s">
        <v>129</v>
      </c>
      <c r="BB3" s="19" t="e" cm="1">
        <f t="array" ref="BB3">INDEX(#REF!,MATCH(BackEnd!BA3,#REF!,0)+6,3)</f>
        <v>#REF!</v>
      </c>
      <c r="BC3" s="24"/>
      <c r="BD3" s="24"/>
      <c r="BE3" t="s">
        <v>420</v>
      </c>
      <c r="BF3" s="26" t="s">
        <v>296</v>
      </c>
      <c r="BG3" s="27" t="e" cm="1">
        <f t="array" ref="BG3">INDEX(#REF!,MATCH(BackEnd!BF3,#REF!,0)+6,3)</f>
        <v>#REF!</v>
      </c>
      <c r="BH3" s="27"/>
      <c r="BI3" s="27"/>
      <c r="BJ3" s="27"/>
      <c r="BK3" s="27"/>
      <c r="BL3" s="27"/>
      <c r="BM3" s="27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3"/>
      <c r="DK3" s="1"/>
      <c r="DL3" s="1"/>
      <c r="DM3" s="1"/>
      <c r="DN3" s="1"/>
      <c r="DO3" s="1"/>
      <c r="DP3" s="1"/>
    </row>
    <row r="4" spans="1:120" ht="15" customHeight="1" x14ac:dyDescent="0.25">
      <c r="E4" t="s">
        <v>421</v>
      </c>
      <c r="H4">
        <v>3</v>
      </c>
      <c r="I4" t="s">
        <v>410</v>
      </c>
      <c r="M4" t="s">
        <v>422</v>
      </c>
      <c r="N4" s="14" t="s">
        <v>204</v>
      </c>
      <c r="O4" t="e" cm="1">
        <f t="array" ref="O4">INDEX(#REF!,MATCH(BackEnd!N4,#REF!,0)+6,3)</f>
        <v>#REF!</v>
      </c>
      <c r="R4" t="s">
        <v>422</v>
      </c>
      <c r="S4" s="15" t="s">
        <v>332</v>
      </c>
      <c r="T4" t="e" cm="1">
        <f t="array" ref="T4">INDEX(#REF!,MATCH(BackEnd!S4,#REF!,0)+6,3)</f>
        <v>#REF!</v>
      </c>
      <c r="W4" t="s">
        <v>422</v>
      </c>
      <c r="X4" s="16" t="s">
        <v>2</v>
      </c>
      <c r="Y4" s="17" t="e" cm="1">
        <f t="array" ref="Y4">INDEX(#REF!,MATCH(BackEnd!X4,#REF!,0)+6,3)</f>
        <v>#REF!</v>
      </c>
      <c r="Z4" s="17"/>
      <c r="AA4" s="17"/>
      <c r="AB4" t="s">
        <v>422</v>
      </c>
      <c r="AC4" s="18" t="s">
        <v>60</v>
      </c>
      <c r="AD4" s="19" t="e" cm="1">
        <f t="array" ref="AD4">INDEX(#REF!,MATCH(BackEnd!AC4,#REF!,0)+6,3)</f>
        <v>#REF!</v>
      </c>
      <c r="AE4" s="19"/>
      <c r="AF4" t="s">
        <v>422</v>
      </c>
      <c r="AG4" s="20" t="s">
        <v>163</v>
      </c>
      <c r="AH4" s="19" t="e" cm="1">
        <f t="array" ref="AH4">INDEX(#REF!,MATCH(BackEnd!AG4,#REF!,0)+6,3)</f>
        <v>#REF!</v>
      </c>
      <c r="AI4" s="19"/>
      <c r="AJ4" s="19"/>
      <c r="AK4" t="s">
        <v>422</v>
      </c>
      <c r="AL4" s="21" t="s">
        <v>256</v>
      </c>
      <c r="AM4" s="19" t="e" cm="1">
        <f t="array" ref="AM4">INDEX(#REF!,MATCH(BackEnd!AL4,#REF!,0)+6,3)</f>
        <v>#REF!</v>
      </c>
      <c r="AN4" s="19"/>
      <c r="AO4" s="19"/>
      <c r="AP4" t="s">
        <v>422</v>
      </c>
      <c r="AQ4" s="22" t="s">
        <v>93</v>
      </c>
      <c r="AR4" s="19" t="e" cm="1">
        <f t="array" ref="AR4">INDEX(#REF!,MATCH(BackEnd!AQ4,#REF!,0)+6,3)</f>
        <v>#REF!</v>
      </c>
      <c r="AS4" s="19"/>
      <c r="AT4" s="19"/>
      <c r="AU4" t="s">
        <v>422</v>
      </c>
      <c r="AV4" s="28" t="s">
        <v>423</v>
      </c>
      <c r="AW4" t="e" cm="1">
        <f t="array" ref="AW4">INDEX(#REF!,MATCH(BackEnd!AV4,#REF!,0)+6,3)</f>
        <v>#REF!</v>
      </c>
      <c r="AY4" s="24"/>
      <c r="AZ4" t="s">
        <v>422</v>
      </c>
      <c r="BA4" s="25" t="s">
        <v>424</v>
      </c>
      <c r="BB4" s="19" t="e" cm="1">
        <f t="array" ref="BB4">INDEX(#REF!,MATCH(BackEnd!BA4,#REF!,0)+6,3)</f>
        <v>#REF!</v>
      </c>
      <c r="BC4" s="24"/>
      <c r="BD4" s="24"/>
      <c r="BE4" t="s">
        <v>422</v>
      </c>
      <c r="BF4" s="26" t="s">
        <v>297</v>
      </c>
      <c r="BG4" s="27" t="e" cm="1">
        <f t="array" ref="BG4">INDEX(#REF!,MATCH(BackEnd!BF4,#REF!,0)+6,3)</f>
        <v>#REF!</v>
      </c>
      <c r="BH4" s="27"/>
      <c r="BI4" s="27"/>
      <c r="BJ4" s="27"/>
      <c r="BK4" s="27"/>
      <c r="BL4" s="27"/>
      <c r="BM4" s="27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12"/>
      <c r="CM4" s="12"/>
      <c r="CN4" s="12"/>
      <c r="CO4" s="12"/>
      <c r="CP4" s="12"/>
      <c r="CQ4" s="12"/>
      <c r="CR4" s="12"/>
      <c r="CS4" s="12"/>
      <c r="CT4" s="12"/>
      <c r="CU4" s="12"/>
      <c r="CV4" s="12"/>
      <c r="CW4" s="12"/>
      <c r="CX4" s="12"/>
      <c r="CY4" s="12"/>
      <c r="CZ4" s="12"/>
      <c r="DA4" s="12"/>
      <c r="DB4" s="12"/>
      <c r="DC4" s="12"/>
      <c r="DD4" s="12"/>
      <c r="DE4" s="12"/>
      <c r="DF4" s="12"/>
      <c r="DG4" s="12"/>
      <c r="DH4" s="12"/>
      <c r="DI4" s="12"/>
      <c r="DJ4" s="12"/>
      <c r="DK4" s="12"/>
      <c r="DL4" s="12"/>
      <c r="DM4" s="12"/>
      <c r="DN4" s="13"/>
      <c r="DO4" s="1"/>
      <c r="DP4" s="1"/>
    </row>
    <row r="5" spans="1:120" ht="15" customHeight="1" x14ac:dyDescent="0.25">
      <c r="E5">
        <v>1</v>
      </c>
      <c r="F5" t="str">
        <f>_xlfn.XLOOKUP(E5,H:H,I:I)</f>
        <v>Noodles</v>
      </c>
      <c r="H5">
        <v>4</v>
      </c>
      <c r="I5" t="s">
        <v>411</v>
      </c>
      <c r="M5" t="s">
        <v>425</v>
      </c>
      <c r="N5" s="14" t="s">
        <v>205</v>
      </c>
      <c r="O5" t="e" cm="1">
        <f t="array" ref="O5">INDEX(#REF!,MATCH(BackEnd!N5,#REF!,0)+6,3)</f>
        <v>#REF!</v>
      </c>
      <c r="R5" t="s">
        <v>425</v>
      </c>
      <c r="S5" s="15" t="s">
        <v>333</v>
      </c>
      <c r="T5" t="e" cm="1">
        <f t="array" ref="T5">INDEX(#REF!,MATCH(BackEnd!S5,#REF!,0)+6,3)</f>
        <v>#REF!</v>
      </c>
      <c r="W5" t="s">
        <v>425</v>
      </c>
      <c r="X5" s="16" t="s">
        <v>3</v>
      </c>
      <c r="Y5" s="17" t="e" cm="1">
        <f t="array" ref="Y5">INDEX(#REF!,MATCH(BackEnd!X5,#REF!,0)+6,3)</f>
        <v>#REF!</v>
      </c>
      <c r="Z5" s="17"/>
      <c r="AA5" s="17"/>
      <c r="AB5" t="s">
        <v>425</v>
      </c>
      <c r="AC5" s="18" t="s">
        <v>61</v>
      </c>
      <c r="AD5" s="19" t="e" cm="1">
        <f t="array" ref="AD5">INDEX(#REF!,MATCH(BackEnd!AC5,#REF!,0)+6,3)</f>
        <v>#REF!</v>
      </c>
      <c r="AE5" s="19"/>
      <c r="AF5" t="s">
        <v>425</v>
      </c>
      <c r="AG5" s="20" t="s">
        <v>164</v>
      </c>
      <c r="AH5" s="19" t="e" cm="1">
        <f t="array" ref="AH5">INDEX(#REF!,MATCH(BackEnd!AG5,#REF!,0)+6,3)</f>
        <v>#REF!</v>
      </c>
      <c r="AI5" s="19"/>
      <c r="AJ5" s="19"/>
      <c r="AK5" t="s">
        <v>425</v>
      </c>
      <c r="AL5" s="21" t="s">
        <v>257</v>
      </c>
      <c r="AM5" s="19" t="e" cm="1">
        <f t="array" ref="AM5">INDEX(#REF!,MATCH(BackEnd!AL5,#REF!,0)+6,3)</f>
        <v>#REF!</v>
      </c>
      <c r="AN5" s="19"/>
      <c r="AO5" s="19"/>
      <c r="AP5" t="s">
        <v>425</v>
      </c>
      <c r="AQ5" s="22" t="s">
        <v>94</v>
      </c>
      <c r="AR5" s="19" t="e" cm="1">
        <f t="array" ref="AR5">INDEX(#REF!,MATCH(BackEnd!AQ5,#REF!,0)+6,3)</f>
        <v>#REF!</v>
      </c>
      <c r="AS5" s="19"/>
      <c r="AT5" s="19"/>
      <c r="AU5" t="s">
        <v>425</v>
      </c>
      <c r="AV5" s="23" t="s">
        <v>426</v>
      </c>
      <c r="AW5" t="e" cm="1">
        <f t="array" ref="AW5">INDEX(#REF!,MATCH(BackEnd!AV5,#REF!,0)+0,3)</f>
        <v>#REF!</v>
      </c>
      <c r="AY5" s="24"/>
      <c r="AZ5" t="s">
        <v>425</v>
      </c>
      <c r="BA5" s="25" t="s">
        <v>130</v>
      </c>
      <c r="BB5" s="19" t="e" cm="1">
        <f t="array" ref="BB5">INDEX(#REF!,MATCH(BackEnd!BA5,#REF!,0)+6,3)</f>
        <v>#REF!</v>
      </c>
      <c r="BC5" s="24"/>
      <c r="BD5" s="24"/>
      <c r="BE5" t="s">
        <v>425</v>
      </c>
      <c r="BF5" s="26" t="s">
        <v>298</v>
      </c>
      <c r="BG5" s="27" t="e" cm="1">
        <f t="array" ref="BG5">INDEX(#REF!,MATCH(BackEnd!BF5,#REF!,0)+6,3)</f>
        <v>#REF!</v>
      </c>
      <c r="BH5" s="27"/>
      <c r="BI5" s="27"/>
      <c r="BJ5" s="27"/>
      <c r="BK5" s="27"/>
      <c r="BL5" s="27"/>
      <c r="BM5" s="27"/>
      <c r="BO5" s="12"/>
      <c r="BP5" s="12"/>
      <c r="BQ5" s="12"/>
      <c r="BR5" s="12"/>
      <c r="BS5" s="12"/>
      <c r="BT5" s="12"/>
      <c r="BU5" s="12"/>
      <c r="BV5" s="12"/>
      <c r="BW5" s="12"/>
      <c r="BX5" s="12"/>
      <c r="BY5" s="12"/>
      <c r="BZ5" s="12"/>
      <c r="CA5" s="12"/>
      <c r="CB5" s="12"/>
      <c r="CC5" s="12"/>
      <c r="CD5" s="12"/>
      <c r="CE5" s="12"/>
      <c r="CF5" s="12"/>
      <c r="CG5" s="12"/>
      <c r="CH5" s="12"/>
      <c r="CI5" s="12"/>
      <c r="CJ5" s="12"/>
      <c r="CK5" s="12"/>
      <c r="CL5" s="12"/>
      <c r="CM5" s="12"/>
      <c r="CN5" s="12"/>
      <c r="CO5" s="12"/>
      <c r="CP5" s="12"/>
      <c r="CQ5" s="12"/>
      <c r="CR5" s="12"/>
      <c r="CS5" s="12"/>
      <c r="CT5" s="12"/>
      <c r="CU5" s="12"/>
      <c r="CV5" s="12"/>
      <c r="CW5" s="12"/>
      <c r="CX5" s="12"/>
      <c r="CY5" s="12"/>
      <c r="CZ5" s="12"/>
      <c r="DA5" s="12"/>
      <c r="DB5" s="12"/>
      <c r="DC5" s="12"/>
      <c r="DD5" s="12"/>
      <c r="DE5" s="12"/>
      <c r="DF5" s="12"/>
      <c r="DG5" s="12"/>
      <c r="DH5" s="12"/>
      <c r="DI5" s="12"/>
      <c r="DJ5" s="12"/>
      <c r="DK5" s="12"/>
      <c r="DL5" s="12"/>
      <c r="DM5" s="12"/>
      <c r="DN5" s="12"/>
      <c r="DO5" s="12"/>
      <c r="DP5" s="13"/>
    </row>
    <row r="6" spans="1:120" ht="15" customHeight="1" x14ac:dyDescent="0.25">
      <c r="A6" t="str" cm="1">
        <f t="array" ref="A6:C57">IF($E$5=1,M2:O53,IF($E$5=2,R2:T43,IF($E$5=3,W2:Y59,IF($E$5=4,AB2:AD35,IF($E$5=5,AF2:AH42,IF($E$5=6,AK2:AM44,IF($E$5=7,AP2:AR38,IF($E$5=8,AU2:AW43,IF($E$5=9,AZ2:BB38,IF($E$5=10,BE2:BG37))))))))))</f>
        <v>Table 1</v>
      </c>
      <c r="B6" t="str">
        <v>N_BAU1A. When you think of Instant Noodles, what brand comes to your mind first?</v>
      </c>
      <c r="C6" t="e">
        <v>#REF!</v>
      </c>
      <c r="H6">
        <v>5</v>
      </c>
      <c r="I6" t="s">
        <v>412</v>
      </c>
      <c r="M6" t="s">
        <v>427</v>
      </c>
      <c r="N6" s="14" t="s">
        <v>206</v>
      </c>
      <c r="O6" t="e" cm="1">
        <f t="array" ref="O6">INDEX(#REF!,MATCH(BackEnd!N6,#REF!,0)+6,3)</f>
        <v>#REF!</v>
      </c>
      <c r="R6" t="s">
        <v>427</v>
      </c>
      <c r="S6" s="15" t="s">
        <v>334</v>
      </c>
      <c r="T6" t="e" cm="1">
        <f t="array" ref="T6">INDEX(#REF!,MATCH(BackEnd!S6,#REF!,0)+6,3)</f>
        <v>#REF!</v>
      </c>
      <c r="W6" t="s">
        <v>427</v>
      </c>
      <c r="X6" s="16" t="s">
        <v>4</v>
      </c>
      <c r="Y6" s="17" t="e" cm="1">
        <f t="array" ref="Y6">INDEX(#REF!,MATCH(BackEnd!X6,#REF!,0)+6,3)</f>
        <v>#REF!</v>
      </c>
      <c r="Z6" s="17"/>
      <c r="AA6" s="17"/>
      <c r="AB6" t="s">
        <v>427</v>
      </c>
      <c r="AC6" s="18" t="s">
        <v>62</v>
      </c>
      <c r="AD6" s="19" t="e" cm="1">
        <f t="array" ref="AD6">INDEX(#REF!,MATCH(BackEnd!AC6,#REF!,0)+6,3)</f>
        <v>#REF!</v>
      </c>
      <c r="AE6" s="19"/>
      <c r="AF6" t="s">
        <v>427</v>
      </c>
      <c r="AG6" s="20" t="s">
        <v>165</v>
      </c>
      <c r="AH6" s="19" t="e" cm="1">
        <f t="array" ref="AH6">INDEX(#REF!,MATCH(BackEnd!AG6,#REF!,0)+6,3)</f>
        <v>#REF!</v>
      </c>
      <c r="AI6" s="19"/>
      <c r="AJ6" s="19"/>
      <c r="AK6" t="s">
        <v>427</v>
      </c>
      <c r="AL6" s="21" t="s">
        <v>258</v>
      </c>
      <c r="AM6" s="19" t="e" cm="1">
        <f t="array" ref="AM6">INDEX(#REF!,MATCH(BackEnd!AL6,#REF!,0)+6,3)</f>
        <v>#REF!</v>
      </c>
      <c r="AN6" s="19"/>
      <c r="AO6" s="19"/>
      <c r="AP6" t="s">
        <v>427</v>
      </c>
      <c r="AQ6" s="22" t="s">
        <v>95</v>
      </c>
      <c r="AR6" s="19" t="e" cm="1">
        <f t="array" ref="AR6">INDEX(#REF!,MATCH(BackEnd!AQ6,#REF!,0)+6,3)</f>
        <v>#REF!</v>
      </c>
      <c r="AS6" s="19"/>
      <c r="AT6" s="19"/>
      <c r="AU6" t="s">
        <v>427</v>
      </c>
      <c r="AV6" s="23" t="s">
        <v>428</v>
      </c>
      <c r="AW6" t="e" cm="1">
        <f t="array" ref="AW6">INDEX(#REF!,MATCH(BackEnd!AV6,#REF!,0)+0,3)</f>
        <v>#REF!</v>
      </c>
      <c r="AY6" s="24"/>
      <c r="AZ6" t="s">
        <v>427</v>
      </c>
      <c r="BA6" s="25" t="s">
        <v>131</v>
      </c>
      <c r="BB6" s="19" t="e" cm="1">
        <f t="array" ref="BB6">INDEX(#REF!,MATCH(BackEnd!BA6,#REF!,0)+6,3)</f>
        <v>#REF!</v>
      </c>
      <c r="BC6" s="24"/>
      <c r="BD6" s="24"/>
      <c r="BE6" t="s">
        <v>427</v>
      </c>
      <c r="BF6" s="26" t="s">
        <v>299</v>
      </c>
      <c r="BG6" s="27" t="e" cm="1">
        <f t="array" ref="BG6">INDEX(#REF!,MATCH(BackEnd!BF6,#REF!,0)+0,3)</f>
        <v>#REF!</v>
      </c>
      <c r="BH6" s="27"/>
      <c r="BI6" s="27"/>
      <c r="BJ6" s="27"/>
      <c r="BK6" s="27"/>
      <c r="BL6" s="27"/>
      <c r="BM6" s="27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2"/>
      <c r="BZ6" s="12"/>
      <c r="CA6" s="12"/>
      <c r="CB6" s="12"/>
      <c r="CC6" s="12"/>
      <c r="CD6" s="12"/>
      <c r="CE6" s="12"/>
      <c r="CF6" s="12"/>
      <c r="CG6" s="12"/>
      <c r="CH6" s="12"/>
      <c r="CI6" s="12"/>
      <c r="CJ6" s="12"/>
      <c r="CK6" s="12"/>
      <c r="CL6" s="12"/>
      <c r="CM6" s="12"/>
      <c r="CN6" s="12"/>
      <c r="CO6" s="12"/>
      <c r="CP6" s="12"/>
      <c r="CQ6" s="12"/>
      <c r="CR6" s="12"/>
      <c r="CS6" s="12"/>
      <c r="CT6" s="12"/>
      <c r="CU6" s="12"/>
      <c r="CV6" s="12"/>
      <c r="CW6" s="12"/>
      <c r="CX6" s="12"/>
      <c r="CY6" s="12"/>
      <c r="CZ6" s="12"/>
      <c r="DA6" s="12"/>
      <c r="DB6" s="12"/>
      <c r="DC6" s="12"/>
      <c r="DD6" s="12"/>
      <c r="DE6" s="12"/>
      <c r="DF6" s="12"/>
      <c r="DG6" s="12"/>
      <c r="DH6" s="12"/>
      <c r="DI6" s="12"/>
      <c r="DJ6" s="12"/>
      <c r="DK6" s="12"/>
      <c r="DL6" s="12"/>
      <c r="DM6" s="12"/>
      <c r="DN6" s="12"/>
      <c r="DO6" s="12"/>
      <c r="DP6" s="13"/>
    </row>
    <row r="7" spans="1:120" ht="15" customHeight="1" x14ac:dyDescent="0.25">
      <c r="A7" t="str">
        <v>Table 2</v>
      </c>
      <c r="B7" t="str">
        <v>N_BAU1B. What other brands of Instant Noodles can you think of? Any other? Please mention as many brands as you can think of?</v>
      </c>
      <c r="C7" t="e">
        <v>#REF!</v>
      </c>
      <c r="H7">
        <v>6</v>
      </c>
      <c r="I7" t="s">
        <v>413</v>
      </c>
      <c r="M7" t="s">
        <v>429</v>
      </c>
      <c r="N7" s="14" t="s">
        <v>207</v>
      </c>
      <c r="O7" t="e" cm="1">
        <f t="array" ref="O7">INDEX(#REF!,MATCH(BackEnd!N7,#REF!,0)+6,3)</f>
        <v>#REF!</v>
      </c>
      <c r="R7" t="s">
        <v>429</v>
      </c>
      <c r="S7" s="15" t="s">
        <v>335</v>
      </c>
      <c r="T7" t="e" cm="1">
        <f t="array" ref="T7">INDEX(#REF!,MATCH(BackEnd!S7,#REF!,0)+6,3)</f>
        <v>#REF!</v>
      </c>
      <c r="W7" t="s">
        <v>429</v>
      </c>
      <c r="X7" s="16" t="s">
        <v>5</v>
      </c>
      <c r="Y7" s="17" t="e" cm="1">
        <f t="array" ref="Y7">INDEX(#REF!,MATCH(BackEnd!X7,#REF!,0)+6,3)</f>
        <v>#REF!</v>
      </c>
      <c r="Z7" s="17"/>
      <c r="AA7" s="17"/>
      <c r="AB7" t="s">
        <v>429</v>
      </c>
      <c r="AC7" s="18" t="s">
        <v>63</v>
      </c>
      <c r="AD7" s="19" t="e" cm="1">
        <f t="array" ref="AD7">INDEX(#REF!,MATCH(BackEnd!AC7,#REF!,0)+6,3)</f>
        <v>#REF!</v>
      </c>
      <c r="AE7" s="19"/>
      <c r="AF7" t="s">
        <v>429</v>
      </c>
      <c r="AG7" s="20" t="s">
        <v>166</v>
      </c>
      <c r="AH7" s="19" t="e" cm="1">
        <f t="array" ref="AH7">INDEX(#REF!,MATCH(BackEnd!AG7,#REF!,0)+6,3)</f>
        <v>#REF!</v>
      </c>
      <c r="AI7" s="19"/>
      <c r="AJ7" s="19"/>
      <c r="AK7" t="s">
        <v>429</v>
      </c>
      <c r="AL7" s="21" t="s">
        <v>259</v>
      </c>
      <c r="AM7" s="19" t="e" cm="1">
        <f t="array" ref="AM7">INDEX(#REF!,MATCH(BackEnd!AL7,#REF!,0)+6,3)</f>
        <v>#REF!</v>
      </c>
      <c r="AN7" s="19"/>
      <c r="AO7" s="19"/>
      <c r="AP7" t="s">
        <v>429</v>
      </c>
      <c r="AQ7" s="22" t="s">
        <v>96</v>
      </c>
      <c r="AR7" s="19" t="e" cm="1">
        <f t="array" ref="AR7">INDEX(#REF!,MATCH(BackEnd!AQ7,#REF!,0)+6,3)</f>
        <v>#REF!</v>
      </c>
      <c r="AS7" s="19"/>
      <c r="AT7" s="19"/>
      <c r="AU7" t="s">
        <v>429</v>
      </c>
      <c r="AV7" s="23" t="s">
        <v>430</v>
      </c>
      <c r="AW7" t="e" cm="1">
        <f t="array" ref="AW7">INDEX(#REF!,MATCH(BackEnd!AV7,#REF!,0)+0,3)</f>
        <v>#REF!</v>
      </c>
      <c r="AY7" s="24"/>
      <c r="AZ7" t="s">
        <v>429</v>
      </c>
      <c r="BA7" s="25" t="s">
        <v>132</v>
      </c>
      <c r="BB7" s="19" t="e" cm="1">
        <f t="array" ref="BB7">INDEX(#REF!,MATCH(BackEnd!BA7,#REF!,0)+6,3)</f>
        <v>#REF!</v>
      </c>
      <c r="BC7" s="24"/>
      <c r="BD7" s="24"/>
      <c r="BE7" t="s">
        <v>429</v>
      </c>
      <c r="BF7" s="26" t="s">
        <v>300</v>
      </c>
      <c r="BG7" s="27" t="e" cm="1">
        <f t="array" ref="BG7">INDEX(#REF!,MATCH(BackEnd!BF7,#REF!,0)+6,3)</f>
        <v>#REF!</v>
      </c>
      <c r="BH7" s="27"/>
      <c r="BI7" s="27"/>
      <c r="BJ7" s="27"/>
      <c r="BK7" s="27"/>
      <c r="BL7" s="27"/>
      <c r="BM7" s="27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2"/>
      <c r="CE7" s="12"/>
      <c r="CF7" s="12"/>
      <c r="CG7" s="12"/>
      <c r="CH7" s="12"/>
      <c r="CI7" s="12"/>
      <c r="CJ7" s="12"/>
      <c r="CK7" s="12"/>
      <c r="CL7" s="12"/>
      <c r="CM7" s="12"/>
      <c r="CN7" s="12"/>
      <c r="CO7" s="12"/>
      <c r="CP7" s="12"/>
      <c r="CQ7" s="12"/>
      <c r="CR7" s="12"/>
      <c r="CS7" s="12"/>
      <c r="CT7" s="12"/>
      <c r="CU7" s="12"/>
      <c r="CV7" s="12"/>
      <c r="CW7" s="12"/>
      <c r="CX7" s="12"/>
      <c r="CY7" s="12"/>
      <c r="CZ7" s="12"/>
      <c r="DA7" s="12"/>
      <c r="DB7" s="12"/>
      <c r="DC7" s="12"/>
      <c r="DD7" s="12"/>
      <c r="DE7" s="12"/>
      <c r="DF7" s="12"/>
      <c r="DG7" s="12"/>
      <c r="DH7" s="12"/>
      <c r="DI7" s="12"/>
      <c r="DJ7" s="12"/>
      <c r="DK7" s="12"/>
      <c r="DL7" s="12"/>
      <c r="DM7" s="12"/>
      <c r="DN7" s="12"/>
      <c r="DO7" s="12"/>
      <c r="DP7" s="13"/>
    </row>
    <row r="8" spans="1:120" ht="15" customHeight="1" x14ac:dyDescent="0.25">
      <c r="A8" t="str">
        <v>Table 3</v>
      </c>
      <c r="B8" t="str">
        <v>N_BAU1C. Which instant Noodles brand first comes to your mind when you think of advertisements in the past 3 ROLL_MONTHs?</v>
      </c>
      <c r="C8" t="e">
        <v>#REF!</v>
      </c>
      <c r="H8">
        <v>7</v>
      </c>
      <c r="I8" t="s">
        <v>414</v>
      </c>
      <c r="M8" t="s">
        <v>431</v>
      </c>
      <c r="N8" s="14" t="s">
        <v>208</v>
      </c>
      <c r="O8" t="e" cm="1">
        <f t="array" ref="O8">INDEX(#REF!,MATCH(BackEnd!N8,#REF!,0)+6,3)</f>
        <v>#REF!</v>
      </c>
      <c r="R8" t="s">
        <v>431</v>
      </c>
      <c r="S8" s="15" t="s">
        <v>336</v>
      </c>
      <c r="T8" t="e" cm="1">
        <f t="array" ref="T8">INDEX(#REF!,MATCH(BackEnd!S8,#REF!,0)+6,3)</f>
        <v>#REF!</v>
      </c>
      <c r="W8" t="s">
        <v>431</v>
      </c>
      <c r="X8" s="16" t="s">
        <v>6</v>
      </c>
      <c r="Y8" s="17" t="e" cm="1">
        <f t="array" ref="Y8">INDEX(#REF!,MATCH(BackEnd!X8,#REF!,0)+6,3)</f>
        <v>#REF!</v>
      </c>
      <c r="Z8" s="17"/>
      <c r="AA8" s="17"/>
      <c r="AB8" t="s">
        <v>431</v>
      </c>
      <c r="AC8" s="18" t="s">
        <v>64</v>
      </c>
      <c r="AD8" s="19" t="e" cm="1">
        <f t="array" ref="AD8">INDEX(#REF!,MATCH(BackEnd!AC8,#REF!,0)+6,3)</f>
        <v>#REF!</v>
      </c>
      <c r="AE8" s="19"/>
      <c r="AF8" t="s">
        <v>431</v>
      </c>
      <c r="AG8" s="20" t="s">
        <v>167</v>
      </c>
      <c r="AH8" s="19" t="e" cm="1">
        <f t="array" ref="AH8">INDEX(#REF!,MATCH(BackEnd!AG8,#REF!,0)+6,3)</f>
        <v>#REF!</v>
      </c>
      <c r="AI8" s="19"/>
      <c r="AJ8" s="19"/>
      <c r="AK8" t="s">
        <v>431</v>
      </c>
      <c r="AL8" s="21" t="s">
        <v>260</v>
      </c>
      <c r="AM8" s="19" t="e" cm="1">
        <f t="array" ref="AM8">INDEX(#REF!,MATCH(BackEnd!AL8,#REF!,0)+6,3)</f>
        <v>#REF!</v>
      </c>
      <c r="AN8" s="19"/>
      <c r="AO8" s="19"/>
      <c r="AP8" t="s">
        <v>431</v>
      </c>
      <c r="AQ8" s="22" t="s">
        <v>97</v>
      </c>
      <c r="AR8" s="19" t="e" cm="1">
        <f t="array" ref="AR8">INDEX(#REF!,MATCH(BackEnd!AQ8,#REF!,0)+6,3)</f>
        <v>#REF!</v>
      </c>
      <c r="AS8" s="19"/>
      <c r="AT8" s="29"/>
      <c r="AU8" t="s">
        <v>431</v>
      </c>
      <c r="AV8" s="28" t="s">
        <v>373</v>
      </c>
      <c r="AW8" t="e" cm="1">
        <f t="array" ref="AW8">INDEX(#REF!,MATCH(BackEnd!AV8,#REF!,0)+6,3)</f>
        <v>#REF!</v>
      </c>
      <c r="AY8" s="24"/>
      <c r="AZ8" t="s">
        <v>431</v>
      </c>
      <c r="BA8" s="25" t="s">
        <v>133</v>
      </c>
      <c r="BB8" s="19" t="e" cm="1">
        <f t="array" ref="BB8">INDEX(#REF!,MATCH(BackEnd!BA8,#REF!,0)+6,3)</f>
        <v>#REF!</v>
      </c>
      <c r="BC8" s="1"/>
      <c r="BD8" s="1"/>
      <c r="BE8" t="s">
        <v>431</v>
      </c>
      <c r="BF8" s="26" t="s">
        <v>301</v>
      </c>
      <c r="BG8" s="27" t="e" cm="1">
        <f t="array" ref="BG8">INDEX(#REF!,MATCH(BackEnd!BF8,#REF!,0)+6,3)</f>
        <v>#REF!</v>
      </c>
      <c r="BH8" s="27"/>
      <c r="BI8" s="27"/>
      <c r="BJ8" s="27"/>
      <c r="BK8" s="27"/>
      <c r="BL8" s="27"/>
      <c r="BM8" s="27"/>
      <c r="BO8" s="12"/>
      <c r="BP8" s="12"/>
      <c r="BQ8" s="12"/>
      <c r="BR8" s="12"/>
      <c r="BS8" s="12"/>
      <c r="BT8" s="12"/>
      <c r="BU8" s="12"/>
      <c r="BV8" s="12"/>
      <c r="BW8" s="12"/>
      <c r="BX8" s="12"/>
      <c r="BY8" s="12"/>
      <c r="BZ8" s="12"/>
      <c r="CA8" s="12"/>
      <c r="CB8" s="12"/>
      <c r="CC8" s="12"/>
      <c r="CD8" s="12"/>
      <c r="CE8" s="12"/>
      <c r="CF8" s="12"/>
      <c r="CG8" s="12"/>
      <c r="CH8" s="12"/>
      <c r="CI8" s="12"/>
      <c r="CJ8" s="12"/>
      <c r="CK8" s="12"/>
      <c r="CL8" s="12"/>
      <c r="CM8" s="12"/>
      <c r="CN8" s="12"/>
      <c r="CO8" s="12"/>
      <c r="CP8" s="12"/>
      <c r="CQ8" s="12"/>
      <c r="CR8" s="12"/>
      <c r="CS8" s="12"/>
      <c r="CT8" s="12"/>
      <c r="CU8" s="12"/>
      <c r="CV8" s="12"/>
      <c r="CW8" s="12"/>
      <c r="CX8" s="12"/>
      <c r="CY8" s="12"/>
      <c r="CZ8" s="12"/>
      <c r="DA8" s="12"/>
      <c r="DB8" s="12"/>
      <c r="DC8" s="12"/>
      <c r="DD8" s="12"/>
      <c r="DE8" s="12"/>
      <c r="DF8" s="12"/>
      <c r="DG8" s="12"/>
      <c r="DH8" s="12"/>
      <c r="DI8" s="12"/>
      <c r="DJ8" s="12"/>
      <c r="DK8" s="12"/>
      <c r="DL8" s="12"/>
      <c r="DM8" s="12"/>
      <c r="DN8" s="12"/>
      <c r="DO8" s="12"/>
      <c r="DP8" s="13"/>
    </row>
    <row r="9" spans="1:120" ht="15" customHeight="1" x14ac:dyDescent="0.25">
      <c r="A9" t="str">
        <v>Table 4</v>
      </c>
      <c r="B9" t="str">
        <v>N_BAU1D. Which other brand of instant Noodles advertisement are you aware of?</v>
      </c>
      <c r="C9" t="e">
        <v>#REF!</v>
      </c>
      <c r="H9">
        <v>8</v>
      </c>
      <c r="I9" t="s">
        <v>415</v>
      </c>
      <c r="M9" t="s">
        <v>432</v>
      </c>
      <c r="N9" s="14" t="s">
        <v>209</v>
      </c>
      <c r="O9" t="e" cm="1">
        <f t="array" ref="O9">INDEX(#REF!,MATCH(BackEnd!N9,#REF!,0)+6,3)</f>
        <v>#REF!</v>
      </c>
      <c r="R9" t="s">
        <v>432</v>
      </c>
      <c r="S9" s="15" t="s">
        <v>337</v>
      </c>
      <c r="T9" t="e" cm="1">
        <f t="array" ref="T9">INDEX(#REF!,MATCH(BackEnd!S9,#REF!,0)+6,3)</f>
        <v>#REF!</v>
      </c>
      <c r="W9" t="s">
        <v>432</v>
      </c>
      <c r="X9" s="16" t="s">
        <v>7</v>
      </c>
      <c r="Y9" s="17" t="e" cm="1">
        <f t="array" ref="Y9">INDEX(#REF!,MATCH(BackEnd!X9,#REF!,0)+6,3)</f>
        <v>#REF!</v>
      </c>
      <c r="Z9" s="17"/>
      <c r="AA9" s="17"/>
      <c r="AB9" t="s">
        <v>432</v>
      </c>
      <c r="AC9" s="18" t="s">
        <v>65</v>
      </c>
      <c r="AD9" s="19" t="e" cm="1">
        <f t="array" ref="AD9">INDEX(#REF!,MATCH(BackEnd!AC9,#REF!,0)+6,3)</f>
        <v>#REF!</v>
      </c>
      <c r="AE9" s="19"/>
      <c r="AF9" t="s">
        <v>432</v>
      </c>
      <c r="AG9" s="20" t="s">
        <v>168</v>
      </c>
      <c r="AH9" s="19" t="e" cm="1">
        <f t="array" ref="AH9">INDEX(#REF!,MATCH(BackEnd!AG9,#REF!,0)+6,3)</f>
        <v>#REF!</v>
      </c>
      <c r="AI9" s="19"/>
      <c r="AJ9" s="19"/>
      <c r="AK9" t="s">
        <v>432</v>
      </c>
      <c r="AL9" s="21" t="s">
        <v>261</v>
      </c>
      <c r="AM9" s="19" t="e" cm="1">
        <f t="array" ref="AM9">INDEX(#REF!,MATCH(BackEnd!AL9,#REF!,0)+6,3)</f>
        <v>#REF!</v>
      </c>
      <c r="AN9" s="19"/>
      <c r="AO9" s="19"/>
      <c r="AP9" t="s">
        <v>432</v>
      </c>
      <c r="AQ9" s="22" t="s">
        <v>98</v>
      </c>
      <c r="AR9" s="19" t="e" cm="1">
        <f t="array" ref="AR9">INDEX(#REF!,MATCH(BackEnd!AQ9,#REF!,0)+6,3)</f>
        <v>#REF!</v>
      </c>
      <c r="AU9" t="s">
        <v>432</v>
      </c>
      <c r="AV9" s="28" t="s">
        <v>374</v>
      </c>
      <c r="AW9" t="e" cm="1">
        <f t="array" ref="AW9">INDEX(#REF!,MATCH(BackEnd!AV9,#REF!,0)+6,3)</f>
        <v>#REF!</v>
      </c>
      <c r="AY9" s="24"/>
      <c r="AZ9" t="s">
        <v>432</v>
      </c>
      <c r="BA9" s="25" t="s">
        <v>134</v>
      </c>
      <c r="BB9" s="19" t="e" cm="1">
        <f t="array" ref="BB9">INDEX(#REF!,MATCH(BackEnd!BA9,#REF!,0)+6,3)</f>
        <v>#REF!</v>
      </c>
      <c r="BC9" s="30"/>
      <c r="BE9" t="s">
        <v>432</v>
      </c>
      <c r="BF9" s="26" t="s">
        <v>302</v>
      </c>
      <c r="BG9" s="27" t="e" cm="1">
        <f t="array" ref="BG9">INDEX(#REF!,MATCH(BackEnd!BF9,#REF!,0)+6,3)</f>
        <v>#REF!</v>
      </c>
      <c r="BH9" s="27"/>
      <c r="BI9" s="27"/>
      <c r="BJ9" s="27"/>
      <c r="BK9" s="27"/>
      <c r="BL9" s="27"/>
      <c r="BM9" s="27"/>
      <c r="BN9" s="27"/>
      <c r="BO9" s="27"/>
      <c r="BP9" s="27"/>
      <c r="BQ9" s="27"/>
      <c r="BR9" s="27"/>
      <c r="BS9" s="27"/>
      <c r="BT9" s="31"/>
      <c r="BU9" s="1"/>
      <c r="BV9" s="1"/>
      <c r="BW9" s="1"/>
      <c r="BX9" s="1"/>
      <c r="BY9" s="1"/>
      <c r="BZ9" s="1"/>
    </row>
    <row r="10" spans="1:120" ht="15" customHeight="1" x14ac:dyDescent="0.25">
      <c r="A10" t="str">
        <v>Table 5</v>
      </c>
      <c r="B10" t="str">
        <v>N_BAU2. Please take a look at this and tell me which brand of Instant Noodles are you aware of?</v>
      </c>
      <c r="C10" t="e">
        <v>#REF!</v>
      </c>
      <c r="H10">
        <v>9</v>
      </c>
      <c r="I10" t="s">
        <v>416</v>
      </c>
      <c r="M10" t="s">
        <v>433</v>
      </c>
      <c r="N10" s="14" t="s">
        <v>210</v>
      </c>
      <c r="O10" t="e" cm="1">
        <f t="array" ref="O10">INDEX(#REF!,MATCH(BackEnd!N10,#REF!,0)+6,3)</f>
        <v>#REF!</v>
      </c>
      <c r="R10" t="s">
        <v>433</v>
      </c>
      <c r="S10" s="15" t="s">
        <v>338</v>
      </c>
      <c r="T10" t="e" cm="1">
        <f t="array" ref="T10">INDEX(#REF!,MATCH(BackEnd!S10,#REF!,0)+6,3)</f>
        <v>#REF!</v>
      </c>
      <c r="W10" t="s">
        <v>433</v>
      </c>
      <c r="X10" s="16" t="s">
        <v>8</v>
      </c>
      <c r="Y10" s="17" t="e" cm="1">
        <f t="array" ref="Y10">INDEX(#REF!,MATCH(BackEnd!X10,#REF!,0)+6,3)</f>
        <v>#REF!</v>
      </c>
      <c r="Z10" s="17"/>
      <c r="AA10" s="17"/>
      <c r="AB10" t="s">
        <v>433</v>
      </c>
      <c r="AC10" s="18" t="s">
        <v>66</v>
      </c>
      <c r="AD10" s="19" t="e" cm="1">
        <f t="array" ref="AD10">INDEX(#REF!,MATCH(BackEnd!AC10,#REF!,0)+6,3)</f>
        <v>#REF!</v>
      </c>
      <c r="AE10" s="19"/>
      <c r="AF10" t="s">
        <v>433</v>
      </c>
      <c r="AG10" s="20" t="s">
        <v>169</v>
      </c>
      <c r="AH10" s="19" t="e" cm="1">
        <f t="array" ref="AH10">INDEX(#REF!,MATCH(BackEnd!AG10,#REF!,0)+6,3)</f>
        <v>#REF!</v>
      </c>
      <c r="AI10" s="19"/>
      <c r="AJ10" s="19"/>
      <c r="AK10" t="s">
        <v>433</v>
      </c>
      <c r="AL10" s="21" t="s">
        <v>262</v>
      </c>
      <c r="AM10" s="19" t="e" cm="1">
        <f t="array" ref="AM10">INDEX(#REF!,MATCH(BackEnd!AL10,#REF!,0)+6,3)</f>
        <v>#REF!</v>
      </c>
      <c r="AP10" t="s">
        <v>433</v>
      </c>
      <c r="AQ10" s="22" t="s">
        <v>99</v>
      </c>
      <c r="AR10" s="19" t="e" cm="1">
        <f t="array" ref="AR10">INDEX(#REF!,MATCH(BackEnd!AQ10,#REF!,0)+6,3)</f>
        <v>#REF!</v>
      </c>
      <c r="AU10" t="s">
        <v>433</v>
      </c>
      <c r="AV10" s="28" t="s">
        <v>375</v>
      </c>
      <c r="AW10" t="e" cm="1">
        <f t="array" ref="AW10">INDEX(#REF!,MATCH(BackEnd!AV10,#REF!,0)+6,3)</f>
        <v>#REF!</v>
      </c>
      <c r="AY10" s="24"/>
      <c r="AZ10" t="s">
        <v>433</v>
      </c>
      <c r="BA10" s="25" t="s">
        <v>135</v>
      </c>
      <c r="BB10" s="19" t="e" cm="1">
        <f t="array" ref="BB10">INDEX(#REF!,MATCH(BackEnd!BA10,#REF!,0)+6,3)</f>
        <v>#REF!</v>
      </c>
      <c r="BC10" s="24"/>
      <c r="BD10" s="24"/>
      <c r="BE10" t="s">
        <v>433</v>
      </c>
      <c r="BF10" s="26" t="s">
        <v>303</v>
      </c>
      <c r="BG10" s="27" t="e" cm="1">
        <f t="array" ref="BG10">INDEX(#REF!,MATCH(BackEnd!BF10,#REF!,0)+6,3)</f>
        <v>#REF!</v>
      </c>
      <c r="BH10" s="27"/>
      <c r="BI10" s="27"/>
      <c r="BJ10" s="27"/>
      <c r="BK10" s="27"/>
      <c r="BL10" s="27"/>
      <c r="BM10" s="27"/>
      <c r="BN10" s="27"/>
      <c r="BO10" s="27"/>
      <c r="BP10" s="27"/>
      <c r="BQ10" s="27"/>
      <c r="BR10" s="27"/>
      <c r="BS10" s="27"/>
      <c r="BT10" s="27"/>
      <c r="BU10" s="27"/>
      <c r="BV10" s="27"/>
      <c r="BW10" s="31"/>
      <c r="BX10" s="1"/>
      <c r="BY10" s="1"/>
      <c r="BZ10" s="1"/>
    </row>
    <row r="11" spans="1:120" ht="15" customHeight="1" x14ac:dyDescent="0.25">
      <c r="A11" t="str">
        <v>Table 6</v>
      </c>
      <c r="B11" t="str">
        <v>N_BAU3. Which other brands in this list do you remember seeing, reading or hearing any advertising for recently?</v>
      </c>
      <c r="C11" t="e">
        <v>#REF!</v>
      </c>
      <c r="H11">
        <v>10</v>
      </c>
      <c r="I11" t="s">
        <v>417</v>
      </c>
      <c r="M11" t="s">
        <v>434</v>
      </c>
      <c r="N11" s="14" t="s">
        <v>211</v>
      </c>
      <c r="O11" t="e" cm="1">
        <f t="array" ref="O11">INDEX(#REF!,MATCH(BackEnd!N11,#REF!,0)+6,3)</f>
        <v>#REF!</v>
      </c>
      <c r="R11" t="s">
        <v>434</v>
      </c>
      <c r="S11" s="15" t="s">
        <v>339</v>
      </c>
      <c r="T11" t="e" cm="1">
        <f t="array" ref="T11">INDEX(#REF!,MATCH(BackEnd!S11,#REF!,0)+6,3)</f>
        <v>#REF!</v>
      </c>
      <c r="W11" t="s">
        <v>434</v>
      </c>
      <c r="X11" s="16" t="s">
        <v>9</v>
      </c>
      <c r="Y11" s="17" t="e" cm="1">
        <f t="array" ref="Y11">INDEX(#REF!,MATCH(BackEnd!X11,#REF!,0)+6,3)</f>
        <v>#REF!</v>
      </c>
      <c r="Z11" s="17"/>
      <c r="AA11" s="17"/>
      <c r="AB11" t="s">
        <v>434</v>
      </c>
      <c r="AC11" s="18" t="s">
        <v>67</v>
      </c>
      <c r="AD11" s="19" t="e" cm="1">
        <f t="array" ref="AD11">INDEX(#REF!,MATCH(BackEnd!AC11,#REF!,0)+6,3)</f>
        <v>#REF!</v>
      </c>
      <c r="AE11" s="19"/>
      <c r="AF11" t="s">
        <v>434</v>
      </c>
      <c r="AG11" s="20" t="s">
        <v>170</v>
      </c>
      <c r="AH11" s="19" t="e" cm="1">
        <f t="array" ref="AH11">INDEX(#REF!,MATCH(BackEnd!AG11,#REF!,0)+6,3)</f>
        <v>#REF!</v>
      </c>
      <c r="AI11" s="19"/>
      <c r="AJ11" s="19"/>
      <c r="AK11" t="s">
        <v>434</v>
      </c>
      <c r="AL11" s="21" t="s">
        <v>263</v>
      </c>
      <c r="AM11" s="19" t="e" cm="1">
        <f t="array" ref="AM11">INDEX(#REF!,MATCH(BackEnd!AL11,#REF!,0)+6,3)</f>
        <v>#REF!</v>
      </c>
      <c r="AN11" s="19"/>
      <c r="AO11" s="19"/>
      <c r="AP11" t="s">
        <v>434</v>
      </c>
      <c r="AQ11" s="22" t="s">
        <v>100</v>
      </c>
      <c r="AR11" s="19" t="e" cm="1">
        <f t="array" ref="AR11">INDEX(#REF!,MATCH(BackEnd!AQ11,#REF!,0)+6,3)</f>
        <v>#REF!</v>
      </c>
      <c r="AS11" s="19"/>
      <c r="AT11" s="19"/>
      <c r="AU11" t="s">
        <v>434</v>
      </c>
      <c r="AV11" s="28" t="s">
        <v>376</v>
      </c>
      <c r="AW11" t="e" cm="1">
        <f t="array" ref="AW11">INDEX(#REF!,MATCH(BackEnd!AV11,#REF!,0)+6,3)</f>
        <v>#REF!</v>
      </c>
      <c r="AY11" s="24"/>
      <c r="AZ11" t="s">
        <v>434</v>
      </c>
      <c r="BA11" s="25" t="s">
        <v>136</v>
      </c>
      <c r="BB11" s="19" t="e" cm="1">
        <f t="array" ref="BB11">INDEX(#REF!,MATCH(BackEnd!BA11,#REF!,0)+6,3)</f>
        <v>#REF!</v>
      </c>
      <c r="BC11" s="30"/>
      <c r="BE11" t="s">
        <v>434</v>
      </c>
      <c r="BF11" s="26" t="s">
        <v>304</v>
      </c>
      <c r="BG11" s="27" t="e" cm="1">
        <f t="array" ref="BG11">INDEX(#REF!,MATCH(BackEnd!BF11,#REF!,0)+6,3)</f>
        <v>#REF!</v>
      </c>
      <c r="BH11" s="27"/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"/>
      <c r="BT11" s="27"/>
      <c r="BU11" s="31"/>
      <c r="BV11" s="1"/>
      <c r="BW11" s="1"/>
      <c r="BX11" s="1"/>
      <c r="BY11" s="1"/>
      <c r="BZ11" s="1"/>
    </row>
    <row r="12" spans="1:120" ht="15" customHeight="1" x14ac:dyDescent="0.25">
      <c r="A12" t="str">
        <v>Table 7</v>
      </c>
      <c r="B12" t="str">
        <v>N_BAU4. And where have you seen or heard any advertisement/communication about Chikki</v>
      </c>
      <c r="C12" t="e">
        <v>#REF!</v>
      </c>
      <c r="M12" t="s">
        <v>435</v>
      </c>
      <c r="N12" s="14" t="s">
        <v>212</v>
      </c>
      <c r="O12" t="e" cm="1">
        <f t="array" ref="O12">INDEX(#REF!,MATCH(BackEnd!N12,#REF!,0)+6,3)</f>
        <v>#REF!</v>
      </c>
      <c r="R12" t="s">
        <v>435</v>
      </c>
      <c r="S12" s="15" t="s">
        <v>340</v>
      </c>
      <c r="T12" t="e" cm="1">
        <f t="array" ref="T12">INDEX(#REF!,MATCH(BackEnd!S12,#REF!,0)+6,3)</f>
        <v>#REF!</v>
      </c>
      <c r="W12" t="s">
        <v>435</v>
      </c>
      <c r="X12" s="16" t="s">
        <v>10</v>
      </c>
      <c r="Y12" s="17" t="e" cm="1">
        <f t="array" ref="Y12">INDEX(#REF!,MATCH(BackEnd!X12,#REF!,0)+6,3)</f>
        <v>#REF!</v>
      </c>
      <c r="Z12" s="17"/>
      <c r="AA12" s="17"/>
      <c r="AB12" t="s">
        <v>435</v>
      </c>
      <c r="AC12" s="18" t="s">
        <v>68</v>
      </c>
      <c r="AD12" s="19" t="e" cm="1">
        <f t="array" ref="AD12">INDEX(#REF!,MATCH(BackEnd!AC12,#REF!,0)+6,3)</f>
        <v>#REF!</v>
      </c>
      <c r="AE12" s="19"/>
      <c r="AF12" t="s">
        <v>435</v>
      </c>
      <c r="AG12" s="20" t="s">
        <v>171</v>
      </c>
      <c r="AH12" s="19" t="e" cm="1">
        <f t="array" ref="AH12">INDEX(#REF!,MATCH(BackEnd!AG12,#REF!,0)+6,3)</f>
        <v>#REF!</v>
      </c>
      <c r="AI12" s="19"/>
      <c r="AJ12" s="19"/>
      <c r="AK12" t="s">
        <v>435</v>
      </c>
      <c r="AL12" s="21" t="s">
        <v>264</v>
      </c>
      <c r="AM12" s="19" t="e" cm="1">
        <f t="array" ref="AM12">INDEX(#REF!,MATCH(BackEnd!AL12,#REF!,0)+6,3)</f>
        <v>#REF!</v>
      </c>
      <c r="AN12" s="19"/>
      <c r="AO12" s="19"/>
      <c r="AP12" t="s">
        <v>435</v>
      </c>
      <c r="AQ12" s="22" t="s">
        <v>101</v>
      </c>
      <c r="AR12" s="19" t="e" cm="1">
        <f t="array" ref="AR12">INDEX(#REF!,MATCH(BackEnd!AQ12,#REF!,0)+6,3)</f>
        <v>#REF!</v>
      </c>
      <c r="AS12" s="19"/>
      <c r="AT12" s="19"/>
      <c r="AU12" t="s">
        <v>435</v>
      </c>
      <c r="AV12" s="28" t="s">
        <v>377</v>
      </c>
      <c r="AW12" t="e" cm="1">
        <f t="array" ref="AW12">INDEX(#REF!,MATCH(BackEnd!AV12,#REF!,0)+6,3)</f>
        <v>#REF!</v>
      </c>
      <c r="AY12" s="24"/>
      <c r="AZ12" t="s">
        <v>435</v>
      </c>
      <c r="BA12" s="25" t="s">
        <v>137</v>
      </c>
      <c r="BB12" s="19" t="e" cm="1">
        <f t="array" ref="BB12">INDEX(#REF!,MATCH(BackEnd!BA12,#REF!,0)+6,3)</f>
        <v>#REF!</v>
      </c>
      <c r="BC12" s="24"/>
      <c r="BD12" s="24"/>
      <c r="BE12" t="s">
        <v>435</v>
      </c>
      <c r="BF12" s="26" t="s">
        <v>305</v>
      </c>
      <c r="BG12" s="27" t="e" cm="1">
        <f t="array" ref="BG12">INDEX(#REF!,MATCH(BackEnd!BF12,#REF!,0)+6,3)</f>
        <v>#REF!</v>
      </c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31"/>
      <c r="BU12" s="1"/>
      <c r="BV12" s="1"/>
      <c r="BW12" s="1"/>
      <c r="BX12" s="1"/>
      <c r="BY12" s="1"/>
      <c r="BZ12" s="1"/>
    </row>
    <row r="13" spans="1:120" ht="15" customHeight="1" x14ac:dyDescent="0.25">
      <c r="A13" t="str">
        <v>Table 8</v>
      </c>
      <c r="B13" t="str">
        <v>N_BAU4. And where have you seen or heard any advertisement/communication about Cherie</v>
      </c>
      <c r="C13" t="e">
        <v>#REF!</v>
      </c>
      <c r="M13" t="s">
        <v>436</v>
      </c>
      <c r="N13" s="14" t="s">
        <v>213</v>
      </c>
      <c r="O13" t="e" cm="1">
        <f t="array" ref="O13">INDEX(#REF!,MATCH(BackEnd!N13,#REF!,0)+6,3)</f>
        <v>#REF!</v>
      </c>
      <c r="R13" t="s">
        <v>436</v>
      </c>
      <c r="S13" s="15" t="s">
        <v>341</v>
      </c>
      <c r="T13" t="e" cm="1">
        <f t="array" ref="T13">INDEX(#REF!,MATCH(BackEnd!S13,#REF!,0)+6,3)</f>
        <v>#REF!</v>
      </c>
      <c r="W13" t="s">
        <v>436</v>
      </c>
      <c r="X13" s="16" t="s">
        <v>11</v>
      </c>
      <c r="Y13" s="17" t="e" cm="1">
        <f t="array" ref="Y13">INDEX(#REF!,MATCH(BackEnd!X13,#REF!,0)+6,3)</f>
        <v>#REF!</v>
      </c>
      <c r="Z13" s="17"/>
      <c r="AA13" s="17"/>
      <c r="AB13" t="s">
        <v>436</v>
      </c>
      <c r="AC13" s="18" t="s">
        <v>437</v>
      </c>
      <c r="AD13" s="19" t="e" cm="1">
        <f t="array" ref="AD13">INDEX(#REF!,MATCH(BackEnd!AC13,#REF!,0)+6,3)</f>
        <v>#REF!</v>
      </c>
      <c r="AE13" s="19"/>
      <c r="AF13" t="s">
        <v>436</v>
      </c>
      <c r="AG13" s="20" t="s">
        <v>172</v>
      </c>
      <c r="AH13" s="19" t="e" cm="1">
        <f t="array" ref="AH13">INDEX(#REF!,MATCH(BackEnd!AG13,#REF!,0)+6,3)</f>
        <v>#REF!</v>
      </c>
      <c r="AI13" s="19"/>
      <c r="AJ13" s="19"/>
      <c r="AK13" t="s">
        <v>436</v>
      </c>
      <c r="AL13" s="21" t="s">
        <v>265</v>
      </c>
      <c r="AM13" s="19" t="e" cm="1">
        <f t="array" ref="AM13">INDEX(#REF!,MATCH(BackEnd!AL13,#REF!,0)+6,3)</f>
        <v>#REF!</v>
      </c>
      <c r="AN13" s="19"/>
      <c r="AO13" s="19"/>
      <c r="AP13" t="s">
        <v>436</v>
      </c>
      <c r="AQ13" s="22" t="s">
        <v>102</v>
      </c>
      <c r="AR13" s="19" t="e" cm="1">
        <f t="array" ref="AR13">INDEX(#REF!,MATCH(BackEnd!AQ13,#REF!,0)+6,3)</f>
        <v>#REF!</v>
      </c>
      <c r="AS13" s="19"/>
      <c r="AT13" s="19"/>
      <c r="AU13" t="s">
        <v>436</v>
      </c>
      <c r="AV13" s="28" t="s">
        <v>378</v>
      </c>
      <c r="AW13" t="e" cm="1">
        <f t="array" ref="AW13">INDEX(#REF!,MATCH(BackEnd!AV13,#REF!,0)+6,3)</f>
        <v>#REF!</v>
      </c>
      <c r="AY13" s="24"/>
      <c r="AZ13" t="s">
        <v>436</v>
      </c>
      <c r="BA13" s="25" t="s">
        <v>138</v>
      </c>
      <c r="BB13" s="19" t="e" cm="1">
        <f t="array" ref="BB13">INDEX(#REF!,MATCH(BackEnd!BA13,#REF!,0)+6,3)</f>
        <v>#REF!</v>
      </c>
      <c r="BE13" t="s">
        <v>436</v>
      </c>
      <c r="BF13" s="26" t="s">
        <v>306</v>
      </c>
      <c r="BG13" s="27" t="e" cm="1">
        <f t="array" ref="BG13">INDEX(#REF!,MATCH(BackEnd!BF13,#REF!,0)+6,3)</f>
        <v>#REF!</v>
      </c>
      <c r="BH13" s="27"/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"/>
      <c r="BT13" s="27"/>
      <c r="BU13" s="27"/>
      <c r="BV13" s="27"/>
      <c r="BW13" s="27"/>
      <c r="BX13" s="27"/>
      <c r="BY13" s="27"/>
      <c r="BZ13" s="31"/>
    </row>
    <row r="14" spans="1:120" ht="15" customHeight="1" x14ac:dyDescent="0.25">
      <c r="A14" t="str">
        <v>Table 9</v>
      </c>
      <c r="B14" t="str">
        <v>N_BAU4. And where have you seen or heard any advertisement/communication about Golden Penny</v>
      </c>
      <c r="C14" t="e">
        <v>#REF!</v>
      </c>
      <c r="M14" t="s">
        <v>438</v>
      </c>
      <c r="N14" s="14" t="s">
        <v>214</v>
      </c>
      <c r="O14" t="e" cm="1">
        <f t="array" ref="O14">INDEX(#REF!,MATCH(BackEnd!N14,#REF!,0)+6,3)</f>
        <v>#REF!</v>
      </c>
      <c r="R14" t="s">
        <v>438</v>
      </c>
      <c r="S14" s="15" t="s">
        <v>342</v>
      </c>
      <c r="T14" t="e" cm="1">
        <f t="array" ref="T14">INDEX(#REF!,MATCH(BackEnd!S14,#REF!,0)+6,3)</f>
        <v>#REF!</v>
      </c>
      <c r="W14" t="s">
        <v>438</v>
      </c>
      <c r="X14" s="16" t="s">
        <v>12</v>
      </c>
      <c r="Y14" s="17" t="e" cm="1">
        <f t="array" ref="Y14">INDEX(#REF!,MATCH(BackEnd!X14,#REF!,0)+6,3)</f>
        <v>#REF!</v>
      </c>
      <c r="Z14" s="17"/>
      <c r="AA14" s="17"/>
      <c r="AB14" t="s">
        <v>438</v>
      </c>
      <c r="AC14" s="18" t="s">
        <v>69</v>
      </c>
      <c r="AD14" s="19" t="e" cm="1">
        <f t="array" ref="AD14">INDEX(#REF!,MATCH(BackEnd!AC14,#REF!,0)+6,3)</f>
        <v>#REF!</v>
      </c>
      <c r="AE14" s="19"/>
      <c r="AF14" t="s">
        <v>438</v>
      </c>
      <c r="AG14" s="20" t="s">
        <v>173</v>
      </c>
      <c r="AH14" s="19" t="e" cm="1">
        <f t="array" ref="AH14">INDEX(#REF!,MATCH(BackEnd!AG14,#REF!,0)+6,3)</f>
        <v>#REF!</v>
      </c>
      <c r="AI14" s="19"/>
      <c r="AJ14" s="19"/>
      <c r="AK14" t="s">
        <v>438</v>
      </c>
      <c r="AL14" s="21" t="s">
        <v>266</v>
      </c>
      <c r="AM14" s="19" t="e" cm="1">
        <f t="array" ref="AM14">INDEX(#REF!,MATCH(BackEnd!AL14,#REF!,0)+6,3)</f>
        <v>#REF!</v>
      </c>
      <c r="AN14" s="19"/>
      <c r="AO14" s="19"/>
      <c r="AP14" t="s">
        <v>438</v>
      </c>
      <c r="AQ14" s="22" t="s">
        <v>103</v>
      </c>
      <c r="AR14" s="19" t="e" cm="1">
        <f t="array" ref="AR14">INDEX(#REF!,MATCH(BackEnd!AQ14,#REF!,0)+6,3)</f>
        <v>#REF!</v>
      </c>
      <c r="AS14" s="19"/>
      <c r="AT14" s="19"/>
      <c r="AU14" t="s">
        <v>438</v>
      </c>
      <c r="AV14" s="28" t="s">
        <v>379</v>
      </c>
      <c r="AW14" t="e" cm="1">
        <f t="array" ref="AW14">INDEX(#REF!,MATCH(BackEnd!AV14,#REF!,0)+6,3)</f>
        <v>#REF!</v>
      </c>
      <c r="AY14" s="24"/>
      <c r="AZ14" t="s">
        <v>438</v>
      </c>
      <c r="BA14" s="25" t="s">
        <v>139</v>
      </c>
      <c r="BB14" s="19" t="e" cm="1">
        <f t="array" ref="BB14">INDEX(#REF!,MATCH(BackEnd!BA14,#REF!,0)+6,3)</f>
        <v>#REF!</v>
      </c>
      <c r="BC14" s="24"/>
      <c r="BD14" s="24"/>
      <c r="BE14" t="s">
        <v>438</v>
      </c>
      <c r="BF14" s="26" t="s">
        <v>307</v>
      </c>
      <c r="BG14" s="27" t="e" cm="1">
        <f t="array" ref="BG14">INDEX(#REF!,MATCH(BackEnd!BF14,#REF!,0)+6,3)</f>
        <v>#REF!</v>
      </c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  <c r="BZ14" s="31"/>
    </row>
    <row r="15" spans="1:120" ht="15" customHeight="1" x14ac:dyDescent="0.25">
      <c r="A15" t="str">
        <v>Table 10</v>
      </c>
      <c r="B15" t="str">
        <v>N_BAU4. And where have you seen or heard any advertisement/communication about Indomie</v>
      </c>
      <c r="C15" t="e">
        <v>#REF!</v>
      </c>
      <c r="M15" t="s">
        <v>439</v>
      </c>
      <c r="N15" s="14" t="s">
        <v>215</v>
      </c>
      <c r="O15" t="e" cm="1">
        <f t="array" ref="O15">INDEX(#REF!,MATCH(BackEnd!N15,#REF!,0)+6,3)</f>
        <v>#REF!</v>
      </c>
      <c r="R15" t="s">
        <v>439</v>
      </c>
      <c r="S15" s="15" t="s">
        <v>343</v>
      </c>
      <c r="T15" t="e" cm="1">
        <f t="array" ref="T15">INDEX(#REF!,MATCH(BackEnd!S15,#REF!,0)+6,3)</f>
        <v>#REF!</v>
      </c>
      <c r="W15" t="s">
        <v>439</v>
      </c>
      <c r="X15" s="16" t="s">
        <v>13</v>
      </c>
      <c r="Y15" s="17" t="e" cm="1">
        <f t="array" ref="Y15">INDEX(#REF!,MATCH(BackEnd!X15,#REF!,0)+6,3)</f>
        <v>#REF!</v>
      </c>
      <c r="Z15" s="17"/>
      <c r="AA15" s="17"/>
      <c r="AB15" t="s">
        <v>439</v>
      </c>
      <c r="AC15" s="18" t="s">
        <v>70</v>
      </c>
      <c r="AD15" s="19" t="e" cm="1">
        <f t="array" ref="AD15">INDEX(#REF!,MATCH(BackEnd!AC15,#REF!,0)+6,3)</f>
        <v>#REF!</v>
      </c>
      <c r="AE15" s="19"/>
      <c r="AF15" t="s">
        <v>439</v>
      </c>
      <c r="AG15" s="20" t="s">
        <v>174</v>
      </c>
      <c r="AH15" s="19" t="e" cm="1">
        <f t="array" ref="AH15">INDEX(#REF!,MATCH(BackEnd!AG15,#REF!,0)+6,3)</f>
        <v>#REF!</v>
      </c>
      <c r="AI15" s="19"/>
      <c r="AJ15" s="19"/>
      <c r="AK15" t="s">
        <v>439</v>
      </c>
      <c r="AL15" s="21" t="s">
        <v>267</v>
      </c>
      <c r="AM15" s="19" t="e" cm="1">
        <f t="array" ref="AM15">INDEX(#REF!,MATCH(BackEnd!AL15,#REF!,0)+6,3)</f>
        <v>#REF!</v>
      </c>
      <c r="AN15" s="19"/>
      <c r="AO15" s="19"/>
      <c r="AP15" t="s">
        <v>439</v>
      </c>
      <c r="AQ15" s="22" t="s">
        <v>104</v>
      </c>
      <c r="AR15" s="19" t="e" cm="1">
        <f t="array" ref="AR15">INDEX(#REF!,MATCH(BackEnd!AQ15,#REF!,0)+6,3)</f>
        <v>#REF!</v>
      </c>
      <c r="AS15" s="19"/>
      <c r="AT15" s="19"/>
      <c r="AU15" t="s">
        <v>439</v>
      </c>
      <c r="AV15" s="28" t="s">
        <v>380</v>
      </c>
      <c r="AW15" t="e" cm="1">
        <f t="array" ref="AW15">INDEX(#REF!,MATCH(BackEnd!AV15,#REF!,0)+6,3)</f>
        <v>#REF!</v>
      </c>
      <c r="AY15" s="30"/>
      <c r="AZ15" t="s">
        <v>439</v>
      </c>
      <c r="BA15" s="25" t="s">
        <v>140</v>
      </c>
      <c r="BB15" s="19" t="e" cm="1">
        <f t="array" ref="BB15">INDEX(#REF!,MATCH(BackEnd!BA15,#REF!,0)+6,3)</f>
        <v>#REF!</v>
      </c>
      <c r="BE15" t="s">
        <v>439</v>
      </c>
      <c r="BF15" s="26" t="s">
        <v>308</v>
      </c>
      <c r="BG15" s="27" t="e" cm="1">
        <f t="array" ref="BG15">INDEX(#REF!,MATCH(BackEnd!BF15,#REF!,0)+6,3)</f>
        <v>#REF!</v>
      </c>
      <c r="BH15" s="27"/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"/>
      <c r="BT15" s="27"/>
      <c r="BU15" s="27"/>
      <c r="BV15" s="27"/>
      <c r="BW15" s="27"/>
      <c r="BX15" s="27"/>
      <c r="BY15" s="27"/>
      <c r="BZ15" s="31"/>
    </row>
    <row r="16" spans="1:120" ht="15" customHeight="1" x14ac:dyDescent="0.25">
      <c r="A16" t="str">
        <v>Table 11</v>
      </c>
      <c r="B16" t="str">
        <v>N_BAU4. And where have you seen or heard any advertisement/communication about Mimee</v>
      </c>
      <c r="C16" t="e">
        <v>#REF!</v>
      </c>
      <c r="M16" t="s">
        <v>440</v>
      </c>
      <c r="N16" s="14" t="s">
        <v>216</v>
      </c>
      <c r="O16" t="e" cm="1">
        <f t="array" ref="O16">INDEX(#REF!,MATCH(BackEnd!N16,#REF!,0)+6,3)</f>
        <v>#REF!</v>
      </c>
      <c r="R16" t="s">
        <v>440</v>
      </c>
      <c r="S16" s="15" t="s">
        <v>344</v>
      </c>
      <c r="T16" t="e" cm="1">
        <f t="array" ref="T16">INDEX(#REF!,MATCH(BackEnd!S16,#REF!,0)+6,3)</f>
        <v>#REF!</v>
      </c>
      <c r="W16" t="s">
        <v>440</v>
      </c>
      <c r="X16" s="16" t="s">
        <v>14</v>
      </c>
      <c r="Y16" s="17" t="e" cm="1">
        <f t="array" ref="Y16">INDEX(#REF!,MATCH(BackEnd!X16,#REF!,0)+6,3)</f>
        <v>#REF!</v>
      </c>
      <c r="Z16" s="17"/>
      <c r="AA16" s="17"/>
      <c r="AB16" t="s">
        <v>440</v>
      </c>
      <c r="AC16" s="18" t="s">
        <v>71</v>
      </c>
      <c r="AD16" s="19" t="e" cm="1">
        <f t="array" ref="AD16">INDEX(#REF!,MATCH(BackEnd!AC16,#REF!,0)+6,3)</f>
        <v>#REF!</v>
      </c>
      <c r="AE16" s="19"/>
      <c r="AF16" t="s">
        <v>440</v>
      </c>
      <c r="AG16" s="20" t="s">
        <v>175</v>
      </c>
      <c r="AH16" s="19" t="e" cm="1">
        <f t="array" ref="AH16">INDEX(#REF!,MATCH(BackEnd!AG16,#REF!,0)+6,3)</f>
        <v>#REF!</v>
      </c>
      <c r="AI16" s="19"/>
      <c r="AJ16" s="19"/>
      <c r="AK16" t="s">
        <v>440</v>
      </c>
      <c r="AL16" s="21" t="s">
        <v>268</v>
      </c>
      <c r="AM16" s="19" t="e" cm="1">
        <f t="array" ref="AM16">INDEX(#REF!,MATCH(BackEnd!AL16,#REF!,0)+6,3)</f>
        <v>#REF!</v>
      </c>
      <c r="AN16" s="19"/>
      <c r="AO16" s="19"/>
      <c r="AP16" t="s">
        <v>440</v>
      </c>
      <c r="AQ16" s="22" t="s">
        <v>105</v>
      </c>
      <c r="AR16" s="19" t="e" cm="1">
        <f t="array" ref="AR16">INDEX(#REF!,MATCH(BackEnd!AQ16,#REF!,0)+6,3)</f>
        <v>#REF!</v>
      </c>
      <c r="AS16" s="19"/>
      <c r="AT16" s="19"/>
      <c r="AU16" t="s">
        <v>440</v>
      </c>
      <c r="AV16" s="28" t="s">
        <v>381</v>
      </c>
      <c r="AW16" t="e" cm="1">
        <f t="array" ref="AW16">INDEX(#REF!,MATCH(BackEnd!AV16,#REF!,0)+6,3)</f>
        <v>#REF!</v>
      </c>
      <c r="AZ16" t="s">
        <v>440</v>
      </c>
      <c r="BA16" s="25" t="s">
        <v>141</v>
      </c>
      <c r="BB16" s="19" t="e" cm="1">
        <f t="array" ref="BB16">INDEX(#REF!,MATCH(BackEnd!BA16,#REF!,0)+6,3)</f>
        <v>#REF!</v>
      </c>
      <c r="BE16" t="s">
        <v>440</v>
      </c>
      <c r="BF16" s="26" t="s">
        <v>309</v>
      </c>
      <c r="BG16" s="27" t="e" cm="1">
        <f t="array" ref="BG16">INDEX(#REF!,MATCH(BackEnd!BF16,#REF!,0)+6,3)</f>
        <v>#REF!</v>
      </c>
      <c r="BH16" s="27"/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"/>
      <c r="BT16" s="27"/>
      <c r="BU16" s="27"/>
      <c r="BV16" s="27"/>
      <c r="BW16" s="27"/>
      <c r="BX16" s="27"/>
      <c r="BY16" s="27"/>
      <c r="BZ16" s="31"/>
    </row>
    <row r="17" spans="1:78" ht="15" customHeight="1" x14ac:dyDescent="0.25">
      <c r="A17" t="str">
        <v>Table 12</v>
      </c>
      <c r="B17" t="str">
        <v>N_BAU4. And where have you seen or heard any advertisement/communication about Tummy Tummy</v>
      </c>
      <c r="C17" t="e">
        <v>#REF!</v>
      </c>
      <c r="M17" t="s">
        <v>441</v>
      </c>
      <c r="N17" s="14" t="s">
        <v>217</v>
      </c>
      <c r="O17" t="e" cm="1">
        <f t="array" ref="O17">INDEX(#REF!,MATCH(BackEnd!N17,#REF!,0)+6,3)</f>
        <v>#REF!</v>
      </c>
      <c r="R17" t="s">
        <v>441</v>
      </c>
      <c r="S17" s="15" t="s">
        <v>345</v>
      </c>
      <c r="T17" t="e" cm="1">
        <f t="array" ref="T17">INDEX(#REF!,MATCH(BackEnd!S17,#REF!,0)+6,3)</f>
        <v>#REF!</v>
      </c>
      <c r="W17" t="s">
        <v>441</v>
      </c>
      <c r="X17" s="16" t="s">
        <v>15</v>
      </c>
      <c r="Y17" s="17" t="e" cm="1">
        <f t="array" ref="Y17">INDEX(#REF!,MATCH(BackEnd!X17,#REF!,0)+6,3)</f>
        <v>#REF!</v>
      </c>
      <c r="Z17" s="17"/>
      <c r="AA17" s="17"/>
      <c r="AB17" t="s">
        <v>441</v>
      </c>
      <c r="AC17" s="18" t="s">
        <v>72</v>
      </c>
      <c r="AD17" s="19" t="e" cm="1">
        <f t="array" ref="AD17">INDEX(#REF!,MATCH(BackEnd!AC17,#REF!,0)+6,3)</f>
        <v>#REF!</v>
      </c>
      <c r="AE17" s="17"/>
      <c r="AF17" t="s">
        <v>441</v>
      </c>
      <c r="AG17" s="20" t="s">
        <v>176</v>
      </c>
      <c r="AH17" s="19" t="e" cm="1">
        <f t="array" ref="AH17">INDEX(#REF!,MATCH(BackEnd!AG17,#REF!,0)+6,3)</f>
        <v>#REF!</v>
      </c>
      <c r="AI17" s="17"/>
      <c r="AJ17" s="17"/>
      <c r="AK17" t="s">
        <v>441</v>
      </c>
      <c r="AL17" s="21" t="s">
        <v>269</v>
      </c>
      <c r="AM17" s="19" t="e" cm="1">
        <f t="array" ref="AM17">INDEX(#REF!,MATCH(BackEnd!AL17,#REF!,0)+6,3)</f>
        <v>#REF!</v>
      </c>
      <c r="AN17" s="32"/>
      <c r="AP17" t="s">
        <v>441</v>
      </c>
      <c r="AQ17" s="22" t="s">
        <v>106</v>
      </c>
      <c r="AR17" s="19" t="e" cm="1">
        <f t="array" ref="AR17">INDEX(#REF!,MATCH(BackEnd!AQ17,#REF!,0)+6,3)</f>
        <v>#REF!</v>
      </c>
      <c r="AU17" t="s">
        <v>441</v>
      </c>
      <c r="AV17" s="28" t="s">
        <v>382</v>
      </c>
      <c r="AW17" t="e" cm="1">
        <f t="array" ref="AW17">INDEX(#REF!,MATCH(BackEnd!AV17,#REF!,0)+6,3)</f>
        <v>#REF!</v>
      </c>
      <c r="AY17" s="24"/>
      <c r="AZ17" t="s">
        <v>441</v>
      </c>
      <c r="BA17" s="25" t="s">
        <v>142</v>
      </c>
      <c r="BB17" s="19" t="e" cm="1">
        <f t="array" ref="BB17">INDEX(#REF!,MATCH(BackEnd!BA17,#REF!,0)+6,3)</f>
        <v>#REF!</v>
      </c>
      <c r="BC17" s="30"/>
      <c r="BD17" s="1"/>
      <c r="BE17" t="s">
        <v>441</v>
      </c>
      <c r="BF17" s="26" t="s">
        <v>310</v>
      </c>
      <c r="BG17" s="27" t="e" cm="1">
        <f t="array" ref="BG17">INDEX(#REF!,MATCH(BackEnd!BF17,#REF!,0)+6,3)</f>
        <v>#REF!</v>
      </c>
      <c r="BH17" s="27"/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"/>
      <c r="BT17" s="27"/>
      <c r="BU17" s="27"/>
      <c r="BV17" s="27"/>
      <c r="BW17" s="27"/>
      <c r="BX17" s="27"/>
      <c r="BY17" s="27"/>
      <c r="BZ17" s="31"/>
    </row>
    <row r="18" spans="1:78" ht="15" customHeight="1" x14ac:dyDescent="0.25">
      <c r="A18" t="str">
        <v>Table 13</v>
      </c>
      <c r="B18" t="str">
        <v>N_BAU4. And where have you seen or heard any advertisement/communication about Minimie</v>
      </c>
      <c r="C18" t="e">
        <v>#REF!</v>
      </c>
      <c r="M18" t="s">
        <v>442</v>
      </c>
      <c r="N18" s="14" t="s">
        <v>218</v>
      </c>
      <c r="O18" t="e" cm="1">
        <f t="array" ref="O18">INDEX(#REF!,MATCH(BackEnd!N18,#REF!,0)+6,3)</f>
        <v>#REF!</v>
      </c>
      <c r="R18" t="s">
        <v>442</v>
      </c>
      <c r="S18" s="15" t="s">
        <v>346</v>
      </c>
      <c r="T18" t="e" cm="1">
        <f t="array" ref="T18">INDEX(#REF!,MATCH(BackEnd!S18,#REF!,0)+6,3)</f>
        <v>#REF!</v>
      </c>
      <c r="W18" t="s">
        <v>442</v>
      </c>
      <c r="X18" s="16" t="s">
        <v>16</v>
      </c>
      <c r="Y18" s="17" t="e" cm="1">
        <f t="array" ref="Y18">INDEX(#REF!,MATCH(BackEnd!X18,#REF!,0)+6,3)</f>
        <v>#REF!</v>
      </c>
      <c r="Z18" s="17"/>
      <c r="AA18" s="17"/>
      <c r="AB18" t="s">
        <v>442</v>
      </c>
      <c r="AC18" s="18" t="s">
        <v>73</v>
      </c>
      <c r="AD18" s="19" t="e" cm="1">
        <f t="array" ref="AD18">INDEX(#REF!,MATCH(BackEnd!AC18,#REF!,0)+6,3)</f>
        <v>#REF!</v>
      </c>
      <c r="AE18" s="17"/>
      <c r="AF18" t="s">
        <v>442</v>
      </c>
      <c r="AG18" s="20" t="s">
        <v>177</v>
      </c>
      <c r="AH18" s="19" t="e" cm="1">
        <f t="array" ref="AH18">INDEX(#REF!,MATCH(BackEnd!AG18,#REF!,0)+6,3)</f>
        <v>#REF!</v>
      </c>
      <c r="AI18" s="17"/>
      <c r="AJ18" s="17"/>
      <c r="AK18" t="s">
        <v>442</v>
      </c>
      <c r="AL18" s="21" t="s">
        <v>443</v>
      </c>
      <c r="AM18" s="19" t="e" cm="1">
        <f t="array" ref="AM18">INDEX(#REF!,MATCH(BackEnd!AL18,#REF!,0)+6,3)</f>
        <v>#REF!</v>
      </c>
      <c r="AP18" t="s">
        <v>442</v>
      </c>
      <c r="AQ18" s="22" t="s">
        <v>107</v>
      </c>
      <c r="AR18" s="19" t="e" cm="1">
        <f t="array" ref="AR18">INDEX(#REF!,MATCH(BackEnd!AQ18,#REF!,0)+6,3)</f>
        <v>#REF!</v>
      </c>
      <c r="AU18" t="s">
        <v>442</v>
      </c>
      <c r="AV18" s="28" t="s">
        <v>383</v>
      </c>
      <c r="AW18" t="e" cm="1">
        <f t="array" ref="AW18">INDEX(#REF!,MATCH(BackEnd!AV18,#REF!,0)+6,3)</f>
        <v>#REF!</v>
      </c>
      <c r="AY18" s="1"/>
      <c r="AZ18" t="s">
        <v>442</v>
      </c>
      <c r="BA18" s="25" t="s">
        <v>143</v>
      </c>
      <c r="BB18" s="19" t="e" cm="1">
        <f t="array" ref="BB18">INDEX(#REF!,MATCH(BackEnd!BA18,#REF!,0)+6,3)</f>
        <v>#REF!</v>
      </c>
      <c r="BC18" s="24"/>
      <c r="BD18" s="1"/>
      <c r="BE18" t="s">
        <v>442</v>
      </c>
      <c r="BF18" s="26" t="s">
        <v>311</v>
      </c>
      <c r="BG18" s="27" t="e" cm="1">
        <f t="array" ref="BG18">INDEX(#REF!,MATCH(BackEnd!BF18,#REF!,0)+6,3)</f>
        <v>#REF!</v>
      </c>
      <c r="BH18" s="27"/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"/>
      <c r="BT18" s="27"/>
      <c r="BU18" s="27"/>
      <c r="BV18" s="27"/>
      <c r="BW18" s="27"/>
      <c r="BX18" s="27"/>
      <c r="BY18" s="27"/>
      <c r="BZ18" s="31"/>
    </row>
    <row r="19" spans="1:78" ht="15" customHeight="1" x14ac:dyDescent="0.25">
      <c r="A19" t="str">
        <v>Table 14</v>
      </c>
      <c r="B19" t="str">
        <v>N_BAU4. And where have you seen or heard any advertisement/communication about Supreme</v>
      </c>
      <c r="C19" t="e">
        <v>#REF!</v>
      </c>
      <c r="M19" t="s">
        <v>444</v>
      </c>
      <c r="N19" s="14" t="s">
        <v>219</v>
      </c>
      <c r="O19" t="e" cm="1">
        <f t="array" ref="O19">INDEX(#REF!,MATCH(BackEnd!N19,#REF!,0)+6,3)</f>
        <v>#REF!</v>
      </c>
      <c r="R19" t="s">
        <v>444</v>
      </c>
      <c r="S19" s="15" t="s">
        <v>347</v>
      </c>
      <c r="T19" t="e" cm="1">
        <f t="array" ref="T19">INDEX(#REF!,MATCH(BackEnd!S19,#REF!,0)+6,3)</f>
        <v>#REF!</v>
      </c>
      <c r="W19" t="s">
        <v>444</v>
      </c>
      <c r="X19" s="16" t="s">
        <v>17</v>
      </c>
      <c r="Y19" s="17" t="e" cm="1">
        <f t="array" ref="Y19">INDEX(#REF!,MATCH(BackEnd!X19,#REF!,0)+6,3)</f>
        <v>#REF!</v>
      </c>
      <c r="Z19" s="17"/>
      <c r="AA19" s="17"/>
      <c r="AB19" t="s">
        <v>444</v>
      </c>
      <c r="AC19" s="18" t="s">
        <v>74</v>
      </c>
      <c r="AD19" s="19" t="e" cm="1">
        <f t="array" ref="AD19">INDEX(#REF!,MATCH(BackEnd!AC19,#REF!,0)+6,3)</f>
        <v>#REF!</v>
      </c>
      <c r="AE19" s="17"/>
      <c r="AF19" t="s">
        <v>444</v>
      </c>
      <c r="AG19" s="20" t="s">
        <v>178</v>
      </c>
      <c r="AH19" s="19" t="e" cm="1">
        <f t="array" ref="AH19">INDEX(#REF!,MATCH(BackEnd!AG19,#REF!,0)+6,3)</f>
        <v>#REF!</v>
      </c>
      <c r="AI19" s="17"/>
      <c r="AJ19" s="17"/>
      <c r="AK19" t="s">
        <v>444</v>
      </c>
      <c r="AL19" s="21" t="s">
        <v>270</v>
      </c>
      <c r="AM19" s="19" t="e" cm="1">
        <f t="array" ref="AM19">INDEX(#REF!,MATCH(BackEnd!AL19,#REF!,0)+6,3)</f>
        <v>#REF!</v>
      </c>
      <c r="AN19" s="17"/>
      <c r="AO19" s="17"/>
      <c r="AP19" t="s">
        <v>444</v>
      </c>
      <c r="AQ19" s="22" t="s">
        <v>108</v>
      </c>
      <c r="AR19" s="19" t="e" cm="1">
        <f t="array" ref="AR19">INDEX(#REF!,MATCH(BackEnd!AQ19,#REF!,0)+6,3)</f>
        <v>#REF!</v>
      </c>
      <c r="AS19" s="32"/>
      <c r="AU19" t="s">
        <v>444</v>
      </c>
      <c r="AV19" s="28" t="s">
        <v>384</v>
      </c>
      <c r="AW19" t="e" cm="1">
        <f t="array" ref="AW19">INDEX(#REF!,MATCH(BackEnd!AV19,#REF!,0)+6,3)</f>
        <v>#REF!</v>
      </c>
      <c r="AY19" s="24"/>
      <c r="AZ19" t="s">
        <v>444</v>
      </c>
      <c r="BA19" s="25" t="s">
        <v>144</v>
      </c>
      <c r="BB19" s="19" t="e" cm="1">
        <f t="array" ref="BB19">INDEX(#REF!,MATCH(BackEnd!BA19,#REF!,0)+6,3)</f>
        <v>#REF!</v>
      </c>
      <c r="BD19" s="30"/>
      <c r="BE19" t="s">
        <v>444</v>
      </c>
      <c r="BF19" s="26" t="s">
        <v>312</v>
      </c>
      <c r="BG19" s="27" t="e" cm="1">
        <f t="array" ref="BG19">INDEX(#REF!,MATCH(BackEnd!BF19,#REF!,0)+6,3)</f>
        <v>#REF!</v>
      </c>
      <c r="BH19" s="1"/>
      <c r="BI19" s="33"/>
    </row>
    <row r="20" spans="1:78" ht="15" customHeight="1" x14ac:dyDescent="0.25">
      <c r="A20" t="str">
        <v>Table 15</v>
      </c>
      <c r="B20" t="str">
        <v>N_BAU4. And where have you seen or heard any advertisement/communication about Honeywell</v>
      </c>
      <c r="C20" t="e">
        <v>#REF!</v>
      </c>
      <c r="M20" t="s">
        <v>445</v>
      </c>
      <c r="N20" s="14" t="s">
        <v>220</v>
      </c>
      <c r="O20" t="e" cm="1">
        <f t="array" ref="O20">INDEX(#REF!,MATCH(BackEnd!N20,#REF!,0)+6,3)</f>
        <v>#REF!</v>
      </c>
      <c r="R20" t="s">
        <v>445</v>
      </c>
      <c r="S20" s="15" t="s">
        <v>348</v>
      </c>
      <c r="T20" t="e" cm="1">
        <f t="array" ref="T20">INDEX(#REF!,MATCH(BackEnd!S20,#REF!,0)+6,3)</f>
        <v>#REF!</v>
      </c>
      <c r="W20" t="s">
        <v>445</v>
      </c>
      <c r="X20" s="16" t="s">
        <v>18</v>
      </c>
      <c r="Y20" s="17" t="e" cm="1">
        <f t="array" ref="Y20">INDEX(#REF!,MATCH(BackEnd!X20,#REF!,0)+6,3)</f>
        <v>#REF!</v>
      </c>
      <c r="Z20" s="17"/>
      <c r="AA20" s="17"/>
      <c r="AB20" t="s">
        <v>445</v>
      </c>
      <c r="AC20" s="18" t="s">
        <v>75</v>
      </c>
      <c r="AD20" s="19" t="e" cm="1">
        <f t="array" ref="AD20">INDEX(#REF!,MATCH(BackEnd!AC20,#REF!,0)+6,3)</f>
        <v>#REF!</v>
      </c>
      <c r="AE20" s="17"/>
      <c r="AF20" t="s">
        <v>445</v>
      </c>
      <c r="AG20" s="20" t="s">
        <v>179</v>
      </c>
      <c r="AH20" s="19" t="e" cm="1">
        <f t="array" ref="AH20">INDEX(#REF!,MATCH(BackEnd!AG20,#REF!,0)+6,3)</f>
        <v>#REF!</v>
      </c>
      <c r="AI20" s="17"/>
      <c r="AJ20" s="17"/>
      <c r="AK20" t="s">
        <v>445</v>
      </c>
      <c r="AL20" s="21" t="s">
        <v>271</v>
      </c>
      <c r="AM20" s="19" t="e" cm="1">
        <f t="array" ref="AM20">INDEX(#REF!,MATCH(BackEnd!AL20,#REF!,0)+6,3)</f>
        <v>#REF!</v>
      </c>
      <c r="AN20" s="17"/>
      <c r="AO20" s="17"/>
      <c r="AP20" t="s">
        <v>445</v>
      </c>
      <c r="AQ20" s="22" t="s">
        <v>109</v>
      </c>
      <c r="AR20" s="19" t="e" cm="1">
        <f t="array" ref="AR20">INDEX(#REF!,MATCH(BackEnd!AQ20,#REF!,0)+6,3)</f>
        <v>#REF!</v>
      </c>
      <c r="AU20" t="s">
        <v>445</v>
      </c>
      <c r="AV20" s="28" t="s">
        <v>385</v>
      </c>
      <c r="AW20" t="e" cm="1">
        <f t="array" ref="AW20">INDEX(#REF!,MATCH(BackEnd!AV20,#REF!,0)+6,3)</f>
        <v>#REF!</v>
      </c>
      <c r="AY20" s="1"/>
      <c r="AZ20" t="s">
        <v>445</v>
      </c>
      <c r="BA20" s="25" t="s">
        <v>145</v>
      </c>
      <c r="BB20" s="19" t="e" cm="1">
        <f t="array" ref="BB20">INDEX(#REF!,MATCH(BackEnd!BA20,#REF!,0)+6,3)</f>
        <v>#REF!</v>
      </c>
      <c r="BC20" s="1"/>
      <c r="BD20" s="1"/>
      <c r="BE20" t="s">
        <v>445</v>
      </c>
      <c r="BF20" s="26" t="s">
        <v>446</v>
      </c>
      <c r="BG20" s="27" t="e" cm="1">
        <f t="array" ref="BG20">INDEX(#REF!,MATCH(BackEnd!BF20,#REF!,0)+0,3)</f>
        <v>#REF!</v>
      </c>
      <c r="BH20" s="1"/>
      <c r="BI20" s="33"/>
    </row>
    <row r="21" spans="1:78" ht="15" customHeight="1" x14ac:dyDescent="0.25">
      <c r="A21" t="str">
        <v>Table 16</v>
      </c>
      <c r="B21" t="str">
        <v>N_BAU4. And where have you seen or heard any advertisement/communication about Tasty Tom</v>
      </c>
      <c r="C21" t="e">
        <v>#REF!</v>
      </c>
      <c r="M21" t="s">
        <v>447</v>
      </c>
      <c r="N21" s="14" t="s">
        <v>221</v>
      </c>
      <c r="O21" t="e" cm="1">
        <f t="array" ref="O21">INDEX(#REF!,MATCH(BackEnd!N21,#REF!,0)+6,3)</f>
        <v>#REF!</v>
      </c>
      <c r="R21" t="s">
        <v>447</v>
      </c>
      <c r="S21" s="15" t="s">
        <v>349</v>
      </c>
      <c r="T21" t="e" cm="1">
        <f t="array" ref="T21">INDEX(#REF!,MATCH(BackEnd!S21,#REF!,0)+6,3)</f>
        <v>#REF!</v>
      </c>
      <c r="W21" t="s">
        <v>447</v>
      </c>
      <c r="X21" s="16" t="s">
        <v>19</v>
      </c>
      <c r="Y21" s="17" t="e" cm="1">
        <f t="array" ref="Y21">INDEX(#REF!,MATCH(BackEnd!X21,#REF!,0)+6,3)</f>
        <v>#REF!</v>
      </c>
      <c r="Z21" s="17"/>
      <c r="AA21" s="17"/>
      <c r="AB21" t="s">
        <v>447</v>
      </c>
      <c r="AC21" s="18" t="s">
        <v>76</v>
      </c>
      <c r="AD21" s="19" t="e" cm="1">
        <f t="array" ref="AD21">INDEX(#REF!,MATCH(BackEnd!AC21,#REF!,0)+6,3)</f>
        <v>#REF!</v>
      </c>
      <c r="AE21" s="17"/>
      <c r="AF21" t="s">
        <v>447</v>
      </c>
      <c r="AG21" s="20" t="s">
        <v>180</v>
      </c>
      <c r="AH21" s="19" t="e" cm="1">
        <f t="array" ref="AH21">INDEX(#REF!,MATCH(BackEnd!AG21,#REF!,0)+6,3)</f>
        <v>#REF!</v>
      </c>
      <c r="AI21" s="17"/>
      <c r="AJ21" s="32"/>
      <c r="AK21" t="s">
        <v>447</v>
      </c>
      <c r="AL21" s="21" t="s">
        <v>448</v>
      </c>
      <c r="AM21" s="19" t="e" cm="1">
        <f t="array" ref="AM21">INDEX(#REF!,MATCH(BackEnd!AL21,#REF!,0)+0,3)</f>
        <v>#REF!</v>
      </c>
      <c r="AP21" t="s">
        <v>447</v>
      </c>
      <c r="AQ21" s="22" t="s">
        <v>110</v>
      </c>
      <c r="AR21" s="19" t="e" cm="1">
        <f t="array" ref="AR21">INDEX(#REF!,MATCH(BackEnd!AQ21,#REF!,0)+6,3)</f>
        <v>#REF!</v>
      </c>
      <c r="AU21" t="s">
        <v>447</v>
      </c>
      <c r="AV21" s="23" t="s">
        <v>373</v>
      </c>
      <c r="AW21" t="e" cm="1">
        <f t="array" ref="AW21">INDEX(#REF!,MATCH(BackEnd!AV21,#REF!,0)+6,3)</f>
        <v>#REF!</v>
      </c>
      <c r="AY21" s="24"/>
      <c r="AZ21" t="s">
        <v>447</v>
      </c>
      <c r="BA21" s="25" t="s">
        <v>449</v>
      </c>
      <c r="BB21" s="19" t="e" cm="1">
        <f t="array" ref="BB21">INDEX(#REF!,MATCH(BackEnd!BA21,#REF!,0)+6,3)</f>
        <v>#REF!</v>
      </c>
      <c r="BC21" s="24"/>
      <c r="BD21" s="24"/>
      <c r="BE21" t="s">
        <v>447</v>
      </c>
      <c r="BF21" s="26" t="s">
        <v>313</v>
      </c>
      <c r="BG21" s="27" t="e" cm="1">
        <f t="array" ref="BG21">INDEX(#REF!,MATCH(BackEnd!BF21,#REF!,0)+6,3)</f>
        <v>#REF!</v>
      </c>
      <c r="BH21" s="30"/>
      <c r="BI21" s="33"/>
    </row>
    <row r="22" spans="1:78" ht="15" customHeight="1" x14ac:dyDescent="0.25">
      <c r="A22" t="str">
        <v>Table 17</v>
      </c>
      <c r="B22" t="str">
        <v>N_BAU4. And where have you seen or heard any advertisement/communication about Jolly Jolly</v>
      </c>
      <c r="C22" t="e">
        <v>#REF!</v>
      </c>
      <c r="M22" t="s">
        <v>450</v>
      </c>
      <c r="N22" s="14" t="s">
        <v>222</v>
      </c>
      <c r="O22" t="e" cm="1">
        <f t="array" ref="O22">INDEX(#REF!,MATCH(BackEnd!N22,#REF!,0)+6,3)</f>
        <v>#REF!</v>
      </c>
      <c r="R22" t="s">
        <v>450</v>
      </c>
      <c r="S22" s="15" t="s">
        <v>350</v>
      </c>
      <c r="T22" t="e" cm="1">
        <f t="array" ref="T22">INDEX(#REF!,MATCH(BackEnd!S22,#REF!,0)+6,3)</f>
        <v>#REF!</v>
      </c>
      <c r="W22" t="s">
        <v>450</v>
      </c>
      <c r="X22" s="16" t="s">
        <v>20</v>
      </c>
      <c r="Y22" s="17" t="e" cm="1">
        <f t="array" ref="Y22">INDEX(#REF!,MATCH(BackEnd!X22,#REF!,0)+6,3)</f>
        <v>#REF!</v>
      </c>
      <c r="Z22" s="17"/>
      <c r="AA22" s="17"/>
      <c r="AB22" t="s">
        <v>450</v>
      </c>
      <c r="AC22" s="18" t="s">
        <v>77</v>
      </c>
      <c r="AD22" s="19" t="e" cm="1">
        <f t="array" ref="AD22">INDEX(#REF!,MATCH(BackEnd!AC22,#REF!,0)+6,3)</f>
        <v>#REF!</v>
      </c>
      <c r="AE22" s="17"/>
      <c r="AF22" t="s">
        <v>450</v>
      </c>
      <c r="AG22" s="20" t="s">
        <v>181</v>
      </c>
      <c r="AH22" s="19" t="e" cm="1">
        <f t="array" ref="AH22">INDEX(#REF!,MATCH(BackEnd!AG22,#REF!,0)+6,3)</f>
        <v>#REF!</v>
      </c>
      <c r="AI22" s="17"/>
      <c r="AJ22" s="17"/>
      <c r="AK22" t="s">
        <v>450</v>
      </c>
      <c r="AL22" s="21" t="s">
        <v>272</v>
      </c>
      <c r="AM22" s="19" t="e" cm="1">
        <f t="array" ref="AM22">INDEX(#REF!,MATCH(BackEnd!AL22,#REF!,0)+6,3)</f>
        <v>#REF!</v>
      </c>
      <c r="AP22" t="s">
        <v>450</v>
      </c>
      <c r="AQ22" s="22" t="s">
        <v>111</v>
      </c>
      <c r="AR22" s="19" t="e" cm="1">
        <f t="array" ref="AR22">INDEX(#REF!,MATCH(BackEnd!AQ22,#REF!,0)+6,3)</f>
        <v>#REF!</v>
      </c>
      <c r="AU22" t="s">
        <v>450</v>
      </c>
      <c r="AV22" s="28" t="s">
        <v>386</v>
      </c>
      <c r="AW22" t="e" cm="1">
        <f t="array" ref="AW22">INDEX(#REF!,MATCH(BackEnd!AV22,#REF!,0)+6,3)</f>
        <v>#REF!</v>
      </c>
      <c r="AY22" s="24"/>
      <c r="AZ22" t="s">
        <v>450</v>
      </c>
      <c r="BA22" s="25" t="s">
        <v>146</v>
      </c>
      <c r="BB22" s="19" t="e" cm="1">
        <f t="array" ref="BB22">INDEX(#REF!,MATCH(BackEnd!BA22,#REF!,0)+6,3)</f>
        <v>#REF!</v>
      </c>
      <c r="BC22" s="24"/>
      <c r="BD22" s="24"/>
      <c r="BE22" t="s">
        <v>450</v>
      </c>
      <c r="BF22" s="26" t="s">
        <v>314</v>
      </c>
      <c r="BG22" s="27" t="e" cm="1">
        <f t="array" ref="BG22">INDEX(#REF!,MATCH(BackEnd!BF22,#REF!,0)+0,3)</f>
        <v>#REF!</v>
      </c>
      <c r="BH22" s="30"/>
      <c r="BI22" s="33"/>
    </row>
    <row r="23" spans="1:78" ht="15" customHeight="1" x14ac:dyDescent="0.25">
      <c r="A23" t="str">
        <v>Table 18</v>
      </c>
      <c r="B23" t="str">
        <v>N_BAU4. And where have you seen or heard any advertisement/communication about Masters</v>
      </c>
      <c r="C23" t="e">
        <v>#REF!</v>
      </c>
      <c r="M23" t="s">
        <v>451</v>
      </c>
      <c r="N23" s="14" t="s">
        <v>223</v>
      </c>
      <c r="O23" t="e" cm="1">
        <f t="array" ref="O23">INDEX(#REF!,MATCH(BackEnd!N23,#REF!,0)+6,3)</f>
        <v>#REF!</v>
      </c>
      <c r="R23" t="s">
        <v>451</v>
      </c>
      <c r="S23" s="15" t="s">
        <v>351</v>
      </c>
      <c r="T23" t="e" cm="1">
        <f t="array" ref="T23">INDEX(#REF!,MATCH(BackEnd!S23,#REF!,0)+6,3)</f>
        <v>#REF!</v>
      </c>
      <c r="W23" t="s">
        <v>451</v>
      </c>
      <c r="X23" s="16" t="s">
        <v>21</v>
      </c>
      <c r="Y23" s="17" t="e" cm="1">
        <f t="array" ref="Y23">INDEX(#REF!,MATCH(BackEnd!X23,#REF!,0)+6,3)</f>
        <v>#REF!</v>
      </c>
      <c r="Z23" s="17"/>
      <c r="AA23" s="17"/>
      <c r="AB23" t="s">
        <v>451</v>
      </c>
      <c r="AC23" s="18" t="s">
        <v>78</v>
      </c>
      <c r="AD23" s="19" t="e" cm="1">
        <f t="array" ref="AD23">INDEX(#REF!,MATCH(BackEnd!AC23,#REF!,0)+6,3)</f>
        <v>#REF!</v>
      </c>
      <c r="AE23" s="17"/>
      <c r="AF23" t="s">
        <v>451</v>
      </c>
      <c r="AG23" s="20" t="s">
        <v>182</v>
      </c>
      <c r="AH23" s="19" t="e" cm="1">
        <f t="array" ref="AH23">INDEX(#REF!,MATCH(BackEnd!AG23,#REF!,0)+6,3)</f>
        <v>#REF!</v>
      </c>
      <c r="AI23" s="17"/>
      <c r="AJ23" s="17"/>
      <c r="AK23" t="s">
        <v>451</v>
      </c>
      <c r="AL23" s="21" t="s">
        <v>273</v>
      </c>
      <c r="AM23" s="19" t="e" cm="1">
        <f t="array" ref="AM23">INDEX(#REF!,MATCH(BackEnd!AL23,#REF!,0)+0,3)</f>
        <v>#REF!</v>
      </c>
      <c r="AN23" s="17"/>
      <c r="AO23" s="17"/>
      <c r="AP23" t="s">
        <v>451</v>
      </c>
      <c r="AQ23" s="22" t="s">
        <v>112</v>
      </c>
      <c r="AR23" s="19" t="e" cm="1">
        <f t="array" ref="AR23">INDEX(#REF!,MATCH(BackEnd!AQ23,#REF!,0)+6,3)</f>
        <v>#REF!</v>
      </c>
      <c r="AU23" t="s">
        <v>451</v>
      </c>
      <c r="AV23" s="28" t="s">
        <v>387</v>
      </c>
      <c r="AW23" t="e" cm="1">
        <f t="array" ref="AW23">INDEX(#REF!,MATCH(BackEnd!AV23,#REF!,0)+6,3)</f>
        <v>#REF!</v>
      </c>
      <c r="AY23" s="24"/>
      <c r="AZ23" t="s">
        <v>451</v>
      </c>
      <c r="BA23" s="25" t="s">
        <v>147</v>
      </c>
      <c r="BB23" s="19" t="e" cm="1">
        <f t="array" ref="BB23">INDEX(#REF!,MATCH(BackEnd!BA23,#REF!,0)+6,3)</f>
        <v>#REF!</v>
      </c>
      <c r="BC23" s="24"/>
      <c r="BD23" s="24"/>
      <c r="BE23" t="s">
        <v>451</v>
      </c>
      <c r="BF23" s="26" t="s">
        <v>315</v>
      </c>
      <c r="BG23" s="27" t="e" cm="1">
        <f t="array" ref="BG23">INDEX(#REF!,MATCH(BackEnd!BF23,#REF!,0)+0,3)</f>
        <v>#REF!</v>
      </c>
      <c r="BH23" s="30"/>
    </row>
    <row r="24" spans="1:78" ht="15" customHeight="1" x14ac:dyDescent="0.25">
      <c r="A24" t="str">
        <v>Table 19</v>
      </c>
      <c r="B24" t="str">
        <v>N_BAU4. And where have you seen or heard any advertisement/communication about Bestie</v>
      </c>
      <c r="C24" t="e">
        <v>#REF!</v>
      </c>
      <c r="M24" t="s">
        <v>452</v>
      </c>
      <c r="N24" s="14" t="s">
        <v>224</v>
      </c>
      <c r="O24" t="e" cm="1">
        <f t="array" ref="O24">INDEX(#REF!,MATCH(BackEnd!N24,#REF!,0)+6,3)</f>
        <v>#REF!</v>
      </c>
      <c r="R24" t="s">
        <v>452</v>
      </c>
      <c r="S24" s="15" t="s">
        <v>352</v>
      </c>
      <c r="T24" t="e" cm="1">
        <f t="array" ref="T24">INDEX(#REF!,MATCH(BackEnd!S24,#REF!,0)+6,3)</f>
        <v>#REF!</v>
      </c>
      <c r="W24" t="s">
        <v>452</v>
      </c>
      <c r="X24" s="16" t="s">
        <v>22</v>
      </c>
      <c r="Y24" s="17" t="e" cm="1">
        <f t="array" ref="Y24">INDEX(#REF!,MATCH(BackEnd!X24,#REF!,0)+6,3)</f>
        <v>#REF!</v>
      </c>
      <c r="Z24" s="17"/>
      <c r="AA24" s="17"/>
      <c r="AB24" t="s">
        <v>452</v>
      </c>
      <c r="AC24" s="18" t="s">
        <v>79</v>
      </c>
      <c r="AD24" s="19" t="e" cm="1">
        <f t="array" ref="AD24">INDEX(#REF!,MATCH(BackEnd!AC24,#REF!,0)+6,3)</f>
        <v>#REF!</v>
      </c>
      <c r="AE24" s="17"/>
      <c r="AF24" t="s">
        <v>452</v>
      </c>
      <c r="AG24" s="20" t="s">
        <v>183</v>
      </c>
      <c r="AH24" s="19" t="e" cm="1">
        <f t="array" ref="AH24">INDEX(#REF!,MATCH(BackEnd!AG24,#REF!,0)+6,3)</f>
        <v>#REF!</v>
      </c>
      <c r="AI24" s="17"/>
      <c r="AJ24" s="17"/>
      <c r="AK24" t="s">
        <v>452</v>
      </c>
      <c r="AL24" s="21" t="s">
        <v>274</v>
      </c>
      <c r="AM24" s="19" t="e" cm="1">
        <f t="array" ref="AM24">INDEX(#REF!,MATCH(BackEnd!AL24,#REF!,0)+0,3)</f>
        <v>#REF!</v>
      </c>
      <c r="AP24" t="s">
        <v>452</v>
      </c>
      <c r="AQ24" s="22" t="s">
        <v>113</v>
      </c>
      <c r="AR24" s="19" t="e" cm="1">
        <f t="array" ref="AR24">INDEX(#REF!,MATCH(BackEnd!AQ24,#REF!,0)+6,3)</f>
        <v>#REF!</v>
      </c>
      <c r="AU24" t="s">
        <v>452</v>
      </c>
      <c r="AV24" s="28" t="s">
        <v>388</v>
      </c>
      <c r="AW24" t="e" cm="1">
        <f t="array" ref="AW24">INDEX(#REF!,MATCH(BackEnd!AV24,#REF!,0)+6,3)</f>
        <v>#REF!</v>
      </c>
      <c r="AY24" s="24"/>
      <c r="AZ24" t="s">
        <v>452</v>
      </c>
      <c r="BA24" s="25" t="s">
        <v>148</v>
      </c>
      <c r="BB24" s="19" t="e" cm="1">
        <f t="array" ref="BB24">INDEX(#REF!,MATCH(BackEnd!BA24,#REF!,0)+6,3)</f>
        <v>#REF!</v>
      </c>
      <c r="BC24" s="24"/>
      <c r="BD24" s="24"/>
      <c r="BE24" t="s">
        <v>452</v>
      </c>
      <c r="BF24" s="26" t="s">
        <v>316</v>
      </c>
      <c r="BG24" s="27" t="e" cm="1">
        <f t="array" ref="BG24">INDEX(#REF!,MATCH(BackEnd!BF24,#REF!,0)+0,3)</f>
        <v>#REF!</v>
      </c>
      <c r="BH24" s="30"/>
    </row>
    <row r="25" spans="1:78" ht="15" customHeight="1" x14ac:dyDescent="0.25">
      <c r="A25" t="str">
        <v>Table 20</v>
      </c>
      <c r="B25" t="str">
        <v>N_BAU4. And where have you seen or heard any advertisement/communication about Others</v>
      </c>
      <c r="C25" t="e">
        <v>#REF!</v>
      </c>
      <c r="M25" t="s">
        <v>453</v>
      </c>
      <c r="N25" s="14" t="s">
        <v>225</v>
      </c>
      <c r="O25" t="e" cm="1">
        <f t="array" ref="O25">INDEX(#REF!,MATCH(BackEnd!N25,#REF!,0)+6,3)</f>
        <v>#REF!</v>
      </c>
      <c r="R25" t="s">
        <v>453</v>
      </c>
      <c r="S25" s="15" t="s">
        <v>353</v>
      </c>
      <c r="T25" t="e" cm="1">
        <f t="array" ref="T25">INDEX(#REF!,MATCH(BackEnd!S25,#REF!,0)+6,3)</f>
        <v>#REF!</v>
      </c>
      <c r="W25" t="s">
        <v>453</v>
      </c>
      <c r="X25" s="16" t="s">
        <v>23</v>
      </c>
      <c r="Y25" s="17" t="e" cm="1">
        <f t="array" ref="Y25">INDEX(#REF!,MATCH(BackEnd!X25,#REF!,0)+6,3)</f>
        <v>#REF!</v>
      </c>
      <c r="Z25" s="17"/>
      <c r="AA25" s="17"/>
      <c r="AB25" t="s">
        <v>453</v>
      </c>
      <c r="AC25" s="18" t="s">
        <v>80</v>
      </c>
      <c r="AD25" s="19" t="e" cm="1">
        <f t="array" ref="AD25">INDEX(#REF!,MATCH(BackEnd!AC25,#REF!,0)+6,3)</f>
        <v>#REF!</v>
      </c>
      <c r="AE25" s="17"/>
      <c r="AF25" t="s">
        <v>453</v>
      </c>
      <c r="AG25" s="20" t="s">
        <v>184</v>
      </c>
      <c r="AH25" s="19" t="e" cm="1">
        <f t="array" ref="AH25">INDEX(#REF!,MATCH(BackEnd!AG25,#REF!,0)+6,3)</f>
        <v>#REF!</v>
      </c>
      <c r="AI25" s="17"/>
      <c r="AJ25" s="17"/>
      <c r="AK25" t="s">
        <v>453</v>
      </c>
      <c r="AL25" s="21" t="s">
        <v>275</v>
      </c>
      <c r="AM25" s="19" t="e" cm="1">
        <f t="array" ref="AM25">INDEX(#REF!,MATCH(BackEnd!AL25,#REF!,0)+0,3)</f>
        <v>#REF!</v>
      </c>
      <c r="AN25" s="17"/>
      <c r="AO25" s="17"/>
      <c r="AP25" t="s">
        <v>453</v>
      </c>
      <c r="AQ25" s="22" t="s">
        <v>114</v>
      </c>
      <c r="AR25" s="19" t="e" cm="1">
        <f t="array" ref="AR25">INDEX(#REF!,MATCH(BackEnd!AQ25,#REF!,0)+6,3)</f>
        <v>#REF!</v>
      </c>
      <c r="AU25" t="s">
        <v>453</v>
      </c>
      <c r="AV25" s="28" t="s">
        <v>454</v>
      </c>
      <c r="AW25" t="e" cm="1">
        <f t="array" ref="AW25">INDEX(#REF!,MATCH(BackEnd!AV25,#REF!,0)+6,3)</f>
        <v>#REF!</v>
      </c>
      <c r="AY25" s="24"/>
      <c r="AZ25" t="s">
        <v>453</v>
      </c>
      <c r="BA25" s="25" t="s">
        <v>149</v>
      </c>
      <c r="BB25" s="19" t="e" cm="1">
        <f t="array" ref="BB25">INDEX(#REF!,MATCH(BackEnd!BA25,#REF!,0)+6,3)</f>
        <v>#REF!</v>
      </c>
      <c r="BC25" s="24"/>
      <c r="BE25" t="s">
        <v>453</v>
      </c>
      <c r="BF25" s="26" t="s">
        <v>317</v>
      </c>
      <c r="BG25" s="27" t="e" cm="1">
        <f t="array" ref="BG25">INDEX(#REF!,MATCH(BackEnd!BF25,#REF!,0)+6,3)</f>
        <v>#REF!</v>
      </c>
      <c r="BH25" s="34"/>
      <c r="BI25" s="34"/>
      <c r="BJ25" s="34"/>
      <c r="BK25" s="34"/>
      <c r="BL25" s="34"/>
      <c r="BM25" s="34"/>
      <c r="BN25" s="34"/>
      <c r="BO25" s="34"/>
      <c r="BP25" s="34"/>
      <c r="BQ25" s="34"/>
      <c r="BR25" s="34"/>
      <c r="BS25" s="34"/>
      <c r="BT25" s="34"/>
      <c r="BU25" s="34"/>
      <c r="BV25" s="34"/>
      <c r="BW25" s="34"/>
      <c r="BX25" s="34"/>
      <c r="BY25" s="34"/>
      <c r="BZ25" s="35"/>
    </row>
    <row r="26" spans="1:78" ht="15" customHeight="1" x14ac:dyDescent="0.25">
      <c r="A26" t="str">
        <v>Table 21</v>
      </c>
      <c r="B26" t="str">
        <v>N_BAU5A. Which of these instant Noodles brands have you ever consumed?</v>
      </c>
      <c r="C26" t="e">
        <v>#REF!</v>
      </c>
      <c r="M26" t="s">
        <v>455</v>
      </c>
      <c r="N26" s="14" t="s">
        <v>226</v>
      </c>
      <c r="O26" t="e" cm="1">
        <f t="array" ref="O26">INDEX(#REF!,MATCH(BackEnd!N26,#REF!,0)+6,3)</f>
        <v>#REF!</v>
      </c>
      <c r="R26" t="s">
        <v>455</v>
      </c>
      <c r="S26" s="15" t="s">
        <v>354</v>
      </c>
      <c r="T26" t="e" cm="1">
        <f t="array" ref="T26">INDEX(#REF!,MATCH(BackEnd!S26,#REF!,0)+6,3)</f>
        <v>#REF!</v>
      </c>
      <c r="W26" t="s">
        <v>455</v>
      </c>
      <c r="X26" s="16" t="s">
        <v>24</v>
      </c>
      <c r="Y26" s="17" t="e" cm="1">
        <f t="array" ref="Y26">INDEX(#REF!,MATCH(BackEnd!X26,#REF!,0)+6,3)</f>
        <v>#REF!</v>
      </c>
      <c r="Z26" s="17"/>
      <c r="AA26" s="17"/>
      <c r="AB26" t="s">
        <v>455</v>
      </c>
      <c r="AC26" s="18" t="s">
        <v>81</v>
      </c>
      <c r="AD26" s="19" t="e" cm="1">
        <f t="array" ref="AD26">INDEX(#REF!,MATCH(BackEnd!AC26,#REF!,0)+6,3)</f>
        <v>#REF!</v>
      </c>
      <c r="AE26" s="32"/>
      <c r="AF26" t="s">
        <v>455</v>
      </c>
      <c r="AG26" s="20" t="s">
        <v>185</v>
      </c>
      <c r="AH26" s="19" t="e" cm="1">
        <f t="array" ref="AH26">INDEX(#REF!,MATCH(BackEnd!AG26,#REF!,0)+6,3)</f>
        <v>#REF!</v>
      </c>
      <c r="AK26" t="s">
        <v>455</v>
      </c>
      <c r="AL26" s="21" t="s">
        <v>276</v>
      </c>
      <c r="AM26" s="19" t="e" cm="1">
        <f t="array" ref="AM26">INDEX(#REF!,MATCH(BackEnd!AL26,#REF!,0)+6,3)</f>
        <v>#REF!</v>
      </c>
      <c r="AP26" t="s">
        <v>455</v>
      </c>
      <c r="AQ26" s="22" t="s">
        <v>115</v>
      </c>
      <c r="AR26" s="19" t="e" cm="1">
        <f t="array" ref="AR26">INDEX(#REF!,MATCH(BackEnd!AQ26,#REF!,0)+0,3)</f>
        <v>#REF!</v>
      </c>
      <c r="AU26" t="s">
        <v>455</v>
      </c>
      <c r="AV26" s="28" t="s">
        <v>389</v>
      </c>
      <c r="AW26" t="e" cm="1">
        <f t="array" ref="AW26">INDEX(#REF!,MATCH(BackEnd!AV26,#REF!,0)+6,3)</f>
        <v>#REF!</v>
      </c>
      <c r="AY26" s="24"/>
      <c r="AZ26" t="s">
        <v>455</v>
      </c>
      <c r="BA26" s="25" t="s">
        <v>150</v>
      </c>
      <c r="BB26" s="19" t="e" cm="1">
        <f t="array" ref="BB26">INDEX(#REF!,MATCH(BackEnd!BA26,#REF!,0)+6,3)</f>
        <v>#REF!</v>
      </c>
      <c r="BC26" s="24"/>
      <c r="BE26" t="s">
        <v>455</v>
      </c>
      <c r="BF26" s="26" t="s">
        <v>318</v>
      </c>
      <c r="BG26" s="27" t="e" cm="1">
        <f t="array" ref="BG26">INDEX(#REF!,MATCH(BackEnd!BF26,#REF!,0)+6,3)</f>
        <v>#REF!</v>
      </c>
      <c r="BH26" s="34"/>
      <c r="BI26" s="34"/>
      <c r="BJ26" s="34"/>
      <c r="BK26" s="34"/>
      <c r="BL26" s="34"/>
      <c r="BM26" s="34"/>
      <c r="BN26" s="34"/>
      <c r="BO26" s="34"/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5"/>
    </row>
    <row r="27" spans="1:78" ht="15" customHeight="1" x14ac:dyDescent="0.25">
      <c r="A27" t="str">
        <v>Table 22</v>
      </c>
      <c r="B27" t="str">
        <v>N_BAU5C. And which of these instant Noodles brands have you consumed in the last 3 ROLL_MONTHs?</v>
      </c>
      <c r="C27" t="e">
        <v>#REF!</v>
      </c>
      <c r="M27" t="s">
        <v>456</v>
      </c>
      <c r="N27" s="14" t="s">
        <v>227</v>
      </c>
      <c r="O27" t="e" cm="1">
        <f t="array" ref="O27">INDEX(#REF!,MATCH(BackEnd!N27,#REF!,0)+6,3)</f>
        <v>#REF!</v>
      </c>
      <c r="R27" t="s">
        <v>456</v>
      </c>
      <c r="S27" s="15" t="s">
        <v>355</v>
      </c>
      <c r="T27" t="e" cm="1">
        <f t="array" ref="T27">INDEX(#REF!,MATCH(BackEnd!S27,#REF!,0)+6,3)</f>
        <v>#REF!</v>
      </c>
      <c r="W27" t="s">
        <v>456</v>
      </c>
      <c r="X27" s="16" t="s">
        <v>25</v>
      </c>
      <c r="Y27" s="17" t="e" cm="1">
        <f t="array" ref="Y27">INDEX(#REF!,MATCH(BackEnd!X27,#REF!,0)+6,3)</f>
        <v>#REF!</v>
      </c>
      <c r="Z27" s="17"/>
      <c r="AA27" s="17"/>
      <c r="AB27" t="s">
        <v>456</v>
      </c>
      <c r="AC27" s="18" t="s">
        <v>82</v>
      </c>
      <c r="AD27" s="19" t="e" cm="1">
        <f t="array" ref="AD27">INDEX(#REF!,MATCH(BackEnd!AC27,#REF!,0)+6,3)</f>
        <v>#REF!</v>
      </c>
      <c r="AE27" s="17"/>
      <c r="AF27" t="s">
        <v>456</v>
      </c>
      <c r="AG27" s="20" t="s">
        <v>186</v>
      </c>
      <c r="AH27" s="19" t="e" cm="1">
        <f t="array" ref="AH27">INDEX(#REF!,MATCH(BackEnd!AG27,#REF!,0)+6,3)</f>
        <v>#REF!</v>
      </c>
      <c r="AI27" s="17"/>
      <c r="AJ27" s="17"/>
      <c r="AK27" t="s">
        <v>456</v>
      </c>
      <c r="AL27" s="21" t="s">
        <v>277</v>
      </c>
      <c r="AM27" s="19" t="e" cm="1">
        <f t="array" ref="AM27">INDEX(#REF!,MATCH(BackEnd!AL27,#REF!,0)+6,3)</f>
        <v>#REF!</v>
      </c>
      <c r="AN27" s="32"/>
      <c r="AP27" t="s">
        <v>456</v>
      </c>
      <c r="AQ27" s="22" t="s">
        <v>116</v>
      </c>
      <c r="AR27" s="19" t="e" cm="1">
        <f t="array" ref="AR27">INDEX(#REF!,MATCH(BackEnd!AQ27,#REF!,0)+0,3)</f>
        <v>#REF!</v>
      </c>
      <c r="AU27" t="s">
        <v>456</v>
      </c>
      <c r="AV27" s="28" t="s">
        <v>390</v>
      </c>
      <c r="AW27" t="e" cm="1">
        <f t="array" ref="AW27">INDEX(#REF!,MATCH(BackEnd!AV27,#REF!,0)+6,3)</f>
        <v>#REF!</v>
      </c>
      <c r="AZ27" t="s">
        <v>456</v>
      </c>
      <c r="BA27" s="25" t="s">
        <v>457</v>
      </c>
      <c r="BB27" s="19" t="e" cm="1">
        <f t="array" ref="BB27">INDEX(#REF!,MATCH(BackEnd!BA27,#REF!,0)+0,3)</f>
        <v>#REF!</v>
      </c>
      <c r="BE27" t="s">
        <v>456</v>
      </c>
      <c r="BF27" s="26" t="s">
        <v>319</v>
      </c>
      <c r="BG27" s="27" t="e" cm="1">
        <f t="array" ref="BG27">INDEX(#REF!,MATCH(BackEnd!BF27,#REF!,0)+6,3)</f>
        <v>#REF!</v>
      </c>
      <c r="BH27" s="34"/>
      <c r="BI27" s="34"/>
      <c r="BJ27" s="34"/>
      <c r="BK27" s="34"/>
      <c r="BL27" s="34"/>
      <c r="BM27" s="34"/>
      <c r="BN27" s="34"/>
      <c r="BO27" s="34"/>
      <c r="BP27" s="34"/>
      <c r="BQ27" s="34"/>
      <c r="BR27" s="34"/>
      <c r="BS27" s="34"/>
      <c r="BT27" s="34"/>
      <c r="BU27" s="34"/>
      <c r="BV27" s="34"/>
      <c r="BW27" s="34"/>
      <c r="BX27" s="34"/>
      <c r="BY27" s="34"/>
      <c r="BZ27" s="35"/>
    </row>
    <row r="28" spans="1:78" ht="15" customHeight="1" x14ac:dyDescent="0.25">
      <c r="A28" t="str">
        <v>Table 23</v>
      </c>
      <c r="B28" t="str">
        <v>N_BAU6A. And which of these instant Noodles brands have you consumed in the last 1 ROLL_MONTH?</v>
      </c>
      <c r="C28" t="e">
        <v>#REF!</v>
      </c>
      <c r="M28" t="s">
        <v>458</v>
      </c>
      <c r="N28" s="14" t="s">
        <v>228</v>
      </c>
      <c r="O28" t="e" cm="1">
        <f t="array" ref="O28">INDEX(#REF!,MATCH(BackEnd!N28,#REF!,0)+6,3)</f>
        <v>#REF!</v>
      </c>
      <c r="R28" t="s">
        <v>458</v>
      </c>
      <c r="S28" s="15" t="s">
        <v>356</v>
      </c>
      <c r="T28" t="e" cm="1">
        <f t="array" ref="T28">INDEX(#REF!,MATCH(BackEnd!S28,#REF!,0)+6,3)</f>
        <v>#REF!</v>
      </c>
      <c r="W28" t="s">
        <v>458</v>
      </c>
      <c r="X28" s="16" t="s">
        <v>26</v>
      </c>
      <c r="Y28" s="17" t="e" cm="1">
        <f t="array" ref="Y28">INDEX(#REF!,MATCH(BackEnd!X28,#REF!,0)+6,3)</f>
        <v>#REF!</v>
      </c>
      <c r="Z28" s="17"/>
      <c r="AA28" s="17"/>
      <c r="AB28" t="s">
        <v>458</v>
      </c>
      <c r="AC28" s="18" t="s">
        <v>83</v>
      </c>
      <c r="AD28" s="19" t="e" cm="1">
        <f t="array" ref="AD28">INDEX(#REF!,MATCH(BackEnd!AC28,#REF!,0)+6,3)</f>
        <v>#REF!</v>
      </c>
      <c r="AE28" s="17"/>
      <c r="AF28" t="s">
        <v>458</v>
      </c>
      <c r="AG28" s="20" t="s">
        <v>187</v>
      </c>
      <c r="AH28" s="19" t="e" cm="1">
        <f t="array" ref="AH28">INDEX(#REF!,MATCH(BackEnd!AG28,#REF!,0)+6,3)</f>
        <v>#REF!</v>
      </c>
      <c r="AI28" s="17"/>
      <c r="AJ28" s="17"/>
      <c r="AK28" t="s">
        <v>458</v>
      </c>
      <c r="AL28" s="21" t="s">
        <v>278</v>
      </c>
      <c r="AM28" s="19" t="e" cm="1">
        <f t="array" ref="AM28">INDEX(#REF!,MATCH(BackEnd!AL28,#REF!,0)+6,3)</f>
        <v>#REF!</v>
      </c>
      <c r="AN28" s="32"/>
      <c r="AP28" t="s">
        <v>458</v>
      </c>
      <c r="AQ28" s="22" t="s">
        <v>117</v>
      </c>
      <c r="AR28" s="19" t="e" cm="1">
        <f t="array" ref="AR28">INDEX(#REF!,MATCH(BackEnd!AQ28,#REF!,0)+0,3)</f>
        <v>#REF!</v>
      </c>
      <c r="AU28" t="s">
        <v>458</v>
      </c>
      <c r="AV28" s="23" t="s">
        <v>459</v>
      </c>
      <c r="AW28" t="e" cm="1">
        <f t="array" ref="AW28">INDEX(#REF!,MATCH(BackEnd!AV28,#REF!,0)+0,3)</f>
        <v>#REF!</v>
      </c>
      <c r="AZ28" t="s">
        <v>458</v>
      </c>
      <c r="BA28" s="25" t="s">
        <v>460</v>
      </c>
      <c r="BB28" s="19" t="e" cm="1">
        <f t="array" ref="BB28">INDEX(#REF!,MATCH(BackEnd!BA28,#REF!,0)+0,3)</f>
        <v>#REF!</v>
      </c>
      <c r="BE28" t="s">
        <v>458</v>
      </c>
      <c r="BF28" s="26" t="s">
        <v>320</v>
      </c>
      <c r="BG28" s="27" t="e" cm="1">
        <f t="array" ref="BG28">INDEX(#REF!,MATCH(BackEnd!BF28,#REF!,0)+6,3)</f>
        <v>#REF!</v>
      </c>
      <c r="BH28" s="34"/>
      <c r="BI28" s="34"/>
      <c r="BJ28" s="34"/>
      <c r="BK28" s="34"/>
      <c r="BL28" s="34"/>
      <c r="BM28" s="34"/>
      <c r="BN28" s="34"/>
      <c r="BO28" s="34"/>
      <c r="BP28" s="34"/>
      <c r="BQ28" s="34"/>
      <c r="BR28" s="34"/>
      <c r="BS28" s="34"/>
      <c r="BT28" s="35"/>
      <c r="BU28" s="36"/>
      <c r="BV28" s="36"/>
      <c r="BW28" s="36"/>
      <c r="BX28" s="36"/>
      <c r="BY28" s="36"/>
      <c r="BZ28" s="36"/>
    </row>
    <row r="29" spans="1:78" ht="15" customHeight="1" x14ac:dyDescent="0.25">
      <c r="A29" t="str">
        <v>Table 24</v>
      </c>
      <c r="B29" t="str">
        <v>N_BAU6B. And which of these instant Noodles brands have you consumed in the last 7 days?</v>
      </c>
      <c r="C29" t="e">
        <v>#REF!</v>
      </c>
      <c r="M29" t="s">
        <v>461</v>
      </c>
      <c r="N29" s="14" t="s">
        <v>229</v>
      </c>
      <c r="O29" t="e" cm="1">
        <f t="array" ref="O29">INDEX(#REF!,MATCH(BackEnd!N29,#REF!,0)+6,3)</f>
        <v>#REF!</v>
      </c>
      <c r="R29" t="s">
        <v>461</v>
      </c>
      <c r="S29" s="15" t="s">
        <v>357</v>
      </c>
      <c r="T29" t="e" cm="1">
        <f t="array" ref="T29">INDEX(#REF!,MATCH(BackEnd!S29,#REF!,0)+6,3)</f>
        <v>#REF!</v>
      </c>
      <c r="W29" t="s">
        <v>461</v>
      </c>
      <c r="X29" s="16" t="s">
        <v>27</v>
      </c>
      <c r="Y29" s="17" t="e" cm="1">
        <f t="array" ref="Y29">INDEX(#REF!,MATCH(BackEnd!X29,#REF!,0)+6,3)</f>
        <v>#REF!</v>
      </c>
      <c r="Z29" s="17"/>
      <c r="AA29" s="17"/>
      <c r="AB29" t="s">
        <v>461</v>
      </c>
      <c r="AC29" s="18" t="s">
        <v>84</v>
      </c>
      <c r="AD29" s="19" t="e" cm="1">
        <f t="array" ref="AD29">INDEX(#REF!,MATCH(BackEnd!AC29,#REF!,0)+6,3)</f>
        <v>#REF!</v>
      </c>
      <c r="AE29" s="17"/>
      <c r="AF29" t="s">
        <v>461</v>
      </c>
      <c r="AG29" s="20" t="s">
        <v>188</v>
      </c>
      <c r="AH29" s="19" t="e" cm="1">
        <f t="array" ref="AH29">INDEX(#REF!,MATCH(BackEnd!AG29,#REF!,0)+6,3)</f>
        <v>#REF!</v>
      </c>
      <c r="AI29" s="17"/>
      <c r="AJ29" s="17"/>
      <c r="AK29" t="s">
        <v>461</v>
      </c>
      <c r="AL29" s="21" t="s">
        <v>279</v>
      </c>
      <c r="AM29" s="19" t="e" cm="1">
        <f t="array" ref="AM29">INDEX(#REF!,MATCH(BackEnd!AL29,#REF!,0)+6,3)</f>
        <v>#REF!</v>
      </c>
      <c r="AP29" t="s">
        <v>461</v>
      </c>
      <c r="AQ29" s="22" t="s">
        <v>118</v>
      </c>
      <c r="AR29" s="19" t="e" cm="1">
        <f t="array" ref="AR29">INDEX(#REF!,MATCH(BackEnd!AQ29,#REF!,0)+6,3)</f>
        <v>#REF!</v>
      </c>
      <c r="AU29" t="s">
        <v>461</v>
      </c>
      <c r="AV29" s="28" t="s">
        <v>391</v>
      </c>
      <c r="AW29" t="e" cm="1">
        <f t="array" ref="AW29">INDEX(#REF!,MATCH(BackEnd!AV29,#REF!,0)+6,3)</f>
        <v>#REF!</v>
      </c>
      <c r="AY29" s="37"/>
      <c r="AZ29" t="s">
        <v>461</v>
      </c>
      <c r="BA29" s="25" t="s">
        <v>151</v>
      </c>
      <c r="BB29" s="19" t="e" cm="1">
        <f t="array" ref="BB29">INDEX(#REF!,MATCH(BackEnd!BA29,#REF!,0)+6,3)</f>
        <v>#REF!</v>
      </c>
      <c r="BC29" s="37"/>
      <c r="BD29" s="37"/>
      <c r="BE29" t="s">
        <v>461</v>
      </c>
      <c r="BF29" s="26" t="s">
        <v>321</v>
      </c>
      <c r="BG29" s="27" t="e" cm="1">
        <f t="array" ref="BG29">INDEX(#REF!,MATCH(BackEnd!BF29,#REF!,0)+6,3)</f>
        <v>#REF!</v>
      </c>
      <c r="BH29" s="37"/>
      <c r="BI29" s="37"/>
      <c r="BJ29" s="37"/>
      <c r="BK29" s="37"/>
      <c r="BL29" s="37"/>
      <c r="BM29" s="33"/>
      <c r="BN29" s="34"/>
      <c r="BO29" s="34"/>
      <c r="BP29" s="34"/>
      <c r="BQ29" s="34"/>
      <c r="BR29" s="34"/>
      <c r="BS29" s="34"/>
      <c r="BT29" s="34"/>
      <c r="BU29" s="34"/>
      <c r="BV29" s="35"/>
      <c r="BW29" s="36"/>
      <c r="BX29" s="36"/>
      <c r="BY29" s="36"/>
      <c r="BZ29" s="36"/>
    </row>
    <row r="30" spans="1:78" ht="15" customHeight="1" x14ac:dyDescent="0.25">
      <c r="A30" t="str">
        <v>Table 25</v>
      </c>
      <c r="B30" t="str">
        <v>N_BAU6C. Which one brand of instant noodles do you consume most often and would call as your main brand?</v>
      </c>
      <c r="C30" t="e">
        <v>#REF!</v>
      </c>
      <c r="M30" t="s">
        <v>462</v>
      </c>
      <c r="N30" s="14" t="s">
        <v>230</v>
      </c>
      <c r="O30" t="e" cm="1">
        <f t="array" ref="O30">INDEX(#REF!,MATCH(BackEnd!N30,#REF!,0)+6,3)</f>
        <v>#REF!</v>
      </c>
      <c r="R30" t="s">
        <v>462</v>
      </c>
      <c r="S30" s="15" t="s">
        <v>358</v>
      </c>
      <c r="T30" t="e" cm="1">
        <f t="array" ref="T30">INDEX(#REF!,MATCH(BackEnd!S30,#REF!,0)+6,3)</f>
        <v>#REF!</v>
      </c>
      <c r="W30" t="s">
        <v>462</v>
      </c>
      <c r="X30" s="16" t="s">
        <v>28</v>
      </c>
      <c r="Y30" s="17" t="e" cm="1">
        <f t="array" ref="Y30">INDEX(#REF!,MATCH(BackEnd!X30,#REF!,0)+6,3)</f>
        <v>#REF!</v>
      </c>
      <c r="Z30" s="17"/>
      <c r="AA30" s="17"/>
      <c r="AB30" t="s">
        <v>462</v>
      </c>
      <c r="AC30" s="18" t="s">
        <v>85</v>
      </c>
      <c r="AD30" s="19" t="e" cm="1">
        <f t="array" ref="AD30">INDEX(#REF!,MATCH(BackEnd!AC30,#REF!,0)+6,3)</f>
        <v>#REF!</v>
      </c>
      <c r="AE30" s="17"/>
      <c r="AF30" t="s">
        <v>462</v>
      </c>
      <c r="AG30" s="20" t="s">
        <v>189</v>
      </c>
      <c r="AH30" s="19" t="e" cm="1">
        <f t="array" ref="AH30">INDEX(#REF!,MATCH(BackEnd!AG30,#REF!,0)+6,3)</f>
        <v>#REF!</v>
      </c>
      <c r="AI30" s="17"/>
      <c r="AJ30" s="17"/>
      <c r="AK30" t="s">
        <v>462</v>
      </c>
      <c r="AL30" s="21" t="s">
        <v>280</v>
      </c>
      <c r="AM30" s="19" t="e" cm="1">
        <f t="array" ref="AM30">INDEX(#REF!,MATCH(BackEnd!AL30,#REF!,0)+6,3)</f>
        <v>#REF!</v>
      </c>
      <c r="AN30" s="32"/>
      <c r="AP30" t="s">
        <v>462</v>
      </c>
      <c r="AQ30" s="22" t="s">
        <v>119</v>
      </c>
      <c r="AR30" s="19" t="e" cm="1">
        <f t="array" ref="AR30">INDEX(#REF!,MATCH(BackEnd!AQ30,#REF!,0)+6,3)</f>
        <v>#REF!</v>
      </c>
      <c r="AU30" t="s">
        <v>462</v>
      </c>
      <c r="AV30" s="23" t="s">
        <v>392</v>
      </c>
      <c r="AW30" t="e" cm="1">
        <f t="array" ref="AW30">INDEX(#REF!,MATCH(BackEnd!AV30,#REF!,0)+0,3)</f>
        <v>#REF!</v>
      </c>
      <c r="AY30" s="37"/>
      <c r="AZ30" t="s">
        <v>462</v>
      </c>
      <c r="BA30" s="25" t="s">
        <v>152</v>
      </c>
      <c r="BB30" s="19" t="e" cm="1">
        <f t="array" ref="BB30">INDEX(#REF!,MATCH(BackEnd!BA30,#REF!,0)+6,3)</f>
        <v>#REF!</v>
      </c>
      <c r="BC30" s="37"/>
      <c r="BD30" s="37"/>
      <c r="BE30" t="s">
        <v>462</v>
      </c>
      <c r="BF30" s="26" t="s">
        <v>322</v>
      </c>
      <c r="BG30" s="27" t="e" cm="1">
        <f t="array" ref="BG30">INDEX(#REF!,MATCH(BackEnd!BF30,#REF!,0)+6,3)</f>
        <v>#REF!</v>
      </c>
      <c r="BH30" s="37"/>
      <c r="BI30" s="37"/>
      <c r="BJ30" s="37"/>
      <c r="BK30" s="37"/>
      <c r="BL30" s="37"/>
      <c r="BM30" s="33"/>
      <c r="BN30" s="34"/>
      <c r="BO30" s="34"/>
      <c r="BP30" s="34"/>
      <c r="BQ30" s="34"/>
      <c r="BR30" s="34"/>
      <c r="BS30" s="34"/>
      <c r="BT30" s="34"/>
      <c r="BU30" s="34"/>
      <c r="BV30" s="34"/>
      <c r="BW30" s="34"/>
      <c r="BX30" s="34"/>
      <c r="BY30" s="35"/>
      <c r="BZ30" s="36"/>
    </row>
    <row r="31" spans="1:78" ht="15" customHeight="1" x14ac:dyDescent="0.25">
      <c r="A31" t="str">
        <v>Table 26</v>
      </c>
      <c r="B31" t="str">
        <v>N_BAU6D. Please tell me the primary reason for consuming the Brand____</v>
      </c>
      <c r="C31" t="e">
        <v>#REF!</v>
      </c>
      <c r="M31" t="s">
        <v>463</v>
      </c>
      <c r="N31" s="14" t="s">
        <v>231</v>
      </c>
      <c r="O31" t="e" cm="1">
        <f t="array" ref="O31">INDEX(#REF!,MATCH(BackEnd!N31,#REF!,0)+6,3)</f>
        <v>#REF!</v>
      </c>
      <c r="R31" t="s">
        <v>463</v>
      </c>
      <c r="S31" s="15" t="s">
        <v>359</v>
      </c>
      <c r="T31" t="e" cm="1">
        <f t="array" ref="T31">INDEX(#REF!,MATCH(BackEnd!S31,#REF!,0)+6,3)</f>
        <v>#REF!</v>
      </c>
      <c r="W31" t="s">
        <v>463</v>
      </c>
      <c r="X31" s="16" t="s">
        <v>29</v>
      </c>
      <c r="Y31" s="17" t="e" cm="1">
        <f t="array" ref="Y31">INDEX(#REF!,MATCH(BackEnd!X31,#REF!,0)+6,3)</f>
        <v>#REF!</v>
      </c>
      <c r="Z31" s="17"/>
      <c r="AA31" s="17"/>
      <c r="AB31" t="s">
        <v>463</v>
      </c>
      <c r="AC31" s="18" t="s">
        <v>86</v>
      </c>
      <c r="AD31" s="19" t="e" cm="1">
        <f t="array" ref="AD31">INDEX(#REF!,MATCH(BackEnd!AC31,#REF!,0)+6,3)</f>
        <v>#REF!</v>
      </c>
      <c r="AE31" s="17"/>
      <c r="AF31" t="s">
        <v>463</v>
      </c>
      <c r="AG31" s="20" t="s">
        <v>190</v>
      </c>
      <c r="AH31" s="19" t="e" cm="1">
        <f t="array" ref="AH31">INDEX(#REF!,MATCH(BackEnd!AG31,#REF!,0)+6,3)</f>
        <v>#REF!</v>
      </c>
      <c r="AI31" s="17"/>
      <c r="AJ31" s="17"/>
      <c r="AK31" t="s">
        <v>463</v>
      </c>
      <c r="AL31" s="21" t="s">
        <v>281</v>
      </c>
      <c r="AM31" s="19" t="e" cm="1">
        <f t="array" ref="AM31">INDEX(#REF!,MATCH(BackEnd!AL31,#REF!,0)+6,3)</f>
        <v>#REF!</v>
      </c>
      <c r="AP31" t="s">
        <v>463</v>
      </c>
      <c r="AQ31" s="22" t="s">
        <v>120</v>
      </c>
      <c r="AR31" s="19" t="e" cm="1">
        <f t="array" ref="AR31">INDEX(#REF!,MATCH(BackEnd!AQ31,#REF!,0)+0,3)</f>
        <v>#REF!</v>
      </c>
      <c r="AU31" t="s">
        <v>463</v>
      </c>
      <c r="AV31" s="23" t="s">
        <v>464</v>
      </c>
      <c r="AW31" t="e" cm="1">
        <f t="array" ref="AW31">INDEX(#REF!,MATCH(BackEnd!AV31,#REF!,0)+0,3)</f>
        <v>#REF!</v>
      </c>
      <c r="AY31" s="37"/>
      <c r="AZ31" t="s">
        <v>463</v>
      </c>
      <c r="BA31" s="25" t="s">
        <v>153</v>
      </c>
      <c r="BB31" s="19" t="e" cm="1">
        <f t="array" ref="BB31">INDEX(#REF!,MATCH(BackEnd!BA31,#REF!,0)+6,3)</f>
        <v>#REF!</v>
      </c>
      <c r="BC31" s="37"/>
      <c r="BD31" s="37"/>
      <c r="BE31" t="s">
        <v>463</v>
      </c>
      <c r="BF31" s="26" t="s">
        <v>323</v>
      </c>
      <c r="BG31" s="27" t="e" cm="1">
        <f t="array" ref="BG31">INDEX(#REF!,MATCH(BackEnd!BF31,#REF!,0)+6,3)</f>
        <v>#REF!</v>
      </c>
      <c r="BH31" s="37"/>
      <c r="BI31" s="37"/>
      <c r="BJ31" s="37"/>
      <c r="BK31" s="37"/>
      <c r="BL31" s="37"/>
      <c r="BM31" s="33"/>
      <c r="BN31" s="34"/>
      <c r="BO31" s="34"/>
      <c r="BP31" s="34"/>
      <c r="BQ31" s="34"/>
      <c r="BR31" s="34"/>
      <c r="BS31" s="34"/>
      <c r="BT31" s="34"/>
      <c r="BU31" s="34"/>
      <c r="BV31" s="34"/>
      <c r="BW31" s="34"/>
      <c r="BX31" s="34"/>
      <c r="BY31" s="35"/>
      <c r="BZ31" s="36"/>
    </row>
    <row r="32" spans="1:78" ht="15" customHeight="1" x14ac:dyDescent="0.25">
      <c r="A32" t="str">
        <v>Table 27</v>
      </c>
      <c r="B32" t="str">
        <v>N_BAU8. Which of these brands of Instant Noodles do you prefer the most?</v>
      </c>
      <c r="C32" t="e">
        <v>#REF!</v>
      </c>
      <c r="M32" t="s">
        <v>465</v>
      </c>
      <c r="N32" s="14" t="s">
        <v>232</v>
      </c>
      <c r="O32" t="e" cm="1">
        <f t="array" ref="O32">INDEX(#REF!,MATCH(BackEnd!N32,#REF!,0)+6,3)</f>
        <v>#REF!</v>
      </c>
      <c r="R32" t="s">
        <v>465</v>
      </c>
      <c r="S32" s="15" t="s">
        <v>360</v>
      </c>
      <c r="T32" t="e" cm="1">
        <f t="array" ref="T32">INDEX(#REF!,MATCH(BackEnd!S32,#REF!,0)+6,3)</f>
        <v>#REF!</v>
      </c>
      <c r="W32" t="s">
        <v>465</v>
      </c>
      <c r="X32" s="16" t="s">
        <v>30</v>
      </c>
      <c r="Y32" s="17" t="e" cm="1">
        <f t="array" ref="Y32">INDEX(#REF!,MATCH(BackEnd!X32,#REF!,0)+6,3)</f>
        <v>#REF!</v>
      </c>
      <c r="Z32" s="17"/>
      <c r="AA32" s="17"/>
      <c r="AB32" t="s">
        <v>465</v>
      </c>
      <c r="AC32" s="18" t="s">
        <v>87</v>
      </c>
      <c r="AD32" s="19" t="e" cm="1">
        <f t="array" ref="AD32">INDEX(#REF!,MATCH(BackEnd!AC32,#REF!,0)+6,3)</f>
        <v>#REF!</v>
      </c>
      <c r="AE32" s="17"/>
      <c r="AF32" t="s">
        <v>465</v>
      </c>
      <c r="AG32" s="20" t="s">
        <v>191</v>
      </c>
      <c r="AH32" s="19" t="e" cm="1">
        <f t="array" ref="AH32">INDEX(#REF!,MATCH(BackEnd!AG32,#REF!,0)+6,3)</f>
        <v>#REF!</v>
      </c>
      <c r="AI32" s="17"/>
      <c r="AJ32" s="17"/>
      <c r="AK32" t="s">
        <v>465</v>
      </c>
      <c r="AL32" s="21" t="s">
        <v>282</v>
      </c>
      <c r="AM32" s="19" t="e" cm="1">
        <f t="array" ref="AM32">INDEX(#REF!,MATCH(BackEnd!AL32,#REF!,0)+6,3)</f>
        <v>#REF!</v>
      </c>
      <c r="AP32" t="s">
        <v>465</v>
      </c>
      <c r="AQ32" s="22" t="s">
        <v>121</v>
      </c>
      <c r="AR32" s="19" t="e" cm="1">
        <f t="array" ref="AR32">INDEX(#REF!,MATCH(BackEnd!AQ32,#REF!,0)+6,3)</f>
        <v>#REF!</v>
      </c>
      <c r="AU32" t="s">
        <v>465</v>
      </c>
      <c r="AV32" s="23" t="s">
        <v>466</v>
      </c>
      <c r="AW32" t="e" cm="1">
        <f t="array" ref="AW32">INDEX(#REF!,MATCH(BackEnd!AV32,#REF!,0)+0,3)</f>
        <v>#REF!</v>
      </c>
      <c r="AY32" s="37"/>
      <c r="AZ32" t="s">
        <v>465</v>
      </c>
      <c r="BA32" s="25" t="s">
        <v>154</v>
      </c>
      <c r="BB32" s="19" t="e" cm="1">
        <f t="array" ref="BB32">INDEX(#REF!,MATCH(BackEnd!BA32,#REF!,0)+6,3)</f>
        <v>#REF!</v>
      </c>
      <c r="BC32" s="37"/>
      <c r="BD32" s="37"/>
      <c r="BE32" t="s">
        <v>465</v>
      </c>
      <c r="BF32" s="26" t="s">
        <v>324</v>
      </c>
      <c r="BG32" s="27" t="e" cm="1">
        <f t="array" ref="BG32">INDEX(#REF!,MATCH(BackEnd!BF32,#REF!,0)+6,3)</f>
        <v>#REF!</v>
      </c>
      <c r="BH32" s="37"/>
      <c r="BI32" s="37"/>
      <c r="BJ32" s="37"/>
      <c r="BK32" s="37"/>
      <c r="BL32" s="37"/>
      <c r="BM32" s="33"/>
      <c r="BN32" s="34"/>
      <c r="BO32" s="34"/>
      <c r="BP32" s="34"/>
      <c r="BQ32" s="34"/>
      <c r="BR32" s="34"/>
      <c r="BS32" s="34"/>
      <c r="BT32" s="34"/>
      <c r="BU32" s="34"/>
      <c r="BV32" s="34"/>
      <c r="BW32" s="35"/>
      <c r="BX32" s="36"/>
      <c r="BY32" s="36"/>
      <c r="BZ32" s="36"/>
    </row>
    <row r="33" spans="1:78" ht="15" customHeight="1" x14ac:dyDescent="0.25">
      <c r="A33" t="str">
        <v>Table 28</v>
      </c>
      <c r="B33" t="str">
        <v>N_BAU9. How often do you purchase instant noodles?</v>
      </c>
      <c r="C33" t="e">
        <v>#REF!</v>
      </c>
      <c r="M33" t="s">
        <v>467</v>
      </c>
      <c r="N33" s="14" t="s">
        <v>233</v>
      </c>
      <c r="O33" t="e" cm="1">
        <f t="array" ref="O33">INDEX(#REF!,MATCH(BackEnd!N33,#REF!,0)+6,3)</f>
        <v>#REF!</v>
      </c>
      <c r="R33" t="s">
        <v>467</v>
      </c>
      <c r="S33" s="15" t="s">
        <v>361</v>
      </c>
      <c r="T33" t="e" cm="1">
        <f t="array" ref="T33">INDEX(#REF!,MATCH(BackEnd!S33,#REF!,0)+6,3)</f>
        <v>#REF!</v>
      </c>
      <c r="W33" t="s">
        <v>467</v>
      </c>
      <c r="X33" s="16" t="s">
        <v>31</v>
      </c>
      <c r="Y33" s="17" t="e" cm="1">
        <f t="array" ref="Y33">INDEX(#REF!,MATCH(BackEnd!X33,#REF!,0)+6,3)</f>
        <v>#REF!</v>
      </c>
      <c r="Z33" s="17"/>
      <c r="AA33" s="17"/>
      <c r="AB33" t="s">
        <v>467</v>
      </c>
      <c r="AC33" s="18" t="s">
        <v>88</v>
      </c>
      <c r="AD33" s="19" t="e" cm="1">
        <f t="array" ref="AD33">INDEX(#REF!,MATCH(BackEnd!AC33,#REF!,0)+6,3)</f>
        <v>#REF!</v>
      </c>
      <c r="AE33" s="17"/>
      <c r="AF33" t="s">
        <v>467</v>
      </c>
      <c r="AG33" s="20" t="s">
        <v>192</v>
      </c>
      <c r="AH33" s="19" t="e" cm="1">
        <f t="array" ref="AH33">INDEX(#REF!,MATCH(BackEnd!AG33,#REF!,0)+6,3)</f>
        <v>#REF!</v>
      </c>
      <c r="AI33" s="17"/>
      <c r="AJ33" s="17"/>
      <c r="AK33" t="s">
        <v>467</v>
      </c>
      <c r="AL33" s="21" t="s">
        <v>283</v>
      </c>
      <c r="AM33" s="19" t="e" cm="1">
        <f t="array" ref="AM33">INDEX(#REF!,MATCH(BackEnd!AL33,#REF!,0)+6,3)</f>
        <v>#REF!</v>
      </c>
      <c r="AP33" t="s">
        <v>467</v>
      </c>
      <c r="AQ33" s="22" t="s">
        <v>122</v>
      </c>
      <c r="AR33" s="19" t="e" cm="1">
        <f t="array" ref="AR33">INDEX(#REF!,MATCH(BackEnd!AQ33,#REF!,0)+0,3)</f>
        <v>#REF!</v>
      </c>
      <c r="AU33" t="s">
        <v>467</v>
      </c>
      <c r="AV33" s="23" t="s">
        <v>393</v>
      </c>
      <c r="AW33" t="e" cm="1">
        <f t="array" ref="AW33">INDEX(#REF!,MATCH(BackEnd!AV33,#REF!,0)+0,3)</f>
        <v>#REF!</v>
      </c>
      <c r="AY33" s="37"/>
      <c r="AZ33" t="s">
        <v>467</v>
      </c>
      <c r="BA33" s="25" t="s">
        <v>155</v>
      </c>
      <c r="BB33" s="19" t="e" cm="1">
        <f t="array" ref="BB33">INDEX(#REF!,MATCH(BackEnd!BA33,#REF!,0)+6,3)</f>
        <v>#REF!</v>
      </c>
      <c r="BC33" s="37"/>
      <c r="BD33" s="37"/>
      <c r="BE33" t="s">
        <v>467</v>
      </c>
      <c r="BF33" s="26" t="s">
        <v>325</v>
      </c>
      <c r="BG33" s="27" t="e" cm="1">
        <f t="array" ref="BG33">INDEX(#REF!,MATCH(BackEnd!BF33,#REF!,0)+6,3)</f>
        <v>#REF!</v>
      </c>
      <c r="BH33" s="37"/>
      <c r="BI33" s="37"/>
      <c r="BJ33" s="37"/>
      <c r="BK33" s="37"/>
      <c r="BL33" s="37"/>
      <c r="BM33" s="33"/>
      <c r="BN33" s="34"/>
      <c r="BO33" s="34"/>
      <c r="BP33" s="34"/>
      <c r="BQ33" s="34"/>
      <c r="BR33" s="34"/>
      <c r="BS33" s="34"/>
      <c r="BT33" s="34"/>
      <c r="BU33" s="34"/>
      <c r="BV33" s="34"/>
      <c r="BW33" s="34"/>
      <c r="BX33" s="34"/>
      <c r="BY33" s="35"/>
      <c r="BZ33" s="36"/>
    </row>
    <row r="34" spans="1:78" ht="15" customHeight="1" x14ac:dyDescent="0.25">
      <c r="A34" t="str">
        <v>Table 29</v>
      </c>
      <c r="B34" t="str">
        <v>N_BAU10. What pack size do you buy most often?</v>
      </c>
      <c r="C34" t="e">
        <v>#REF!</v>
      </c>
      <c r="M34" t="s">
        <v>468</v>
      </c>
      <c r="N34" s="14" t="s">
        <v>234</v>
      </c>
      <c r="O34" t="e" cm="1">
        <f t="array" ref="O34">INDEX(#REF!,MATCH(BackEnd!N34,#REF!,0)+6,3)</f>
        <v>#REF!</v>
      </c>
      <c r="R34" t="s">
        <v>468</v>
      </c>
      <c r="S34" s="15" t="s">
        <v>362</v>
      </c>
      <c r="T34" t="e" cm="1">
        <f t="array" ref="T34">INDEX(#REF!,MATCH(BackEnd!S34,#REF!,0)+6,3)</f>
        <v>#REF!</v>
      </c>
      <c r="W34" t="s">
        <v>468</v>
      </c>
      <c r="X34" s="16" t="s">
        <v>32</v>
      </c>
      <c r="Y34" s="17" t="e" cm="1">
        <f t="array" ref="Y34">INDEX(#REF!,MATCH(BackEnd!X34,#REF!,0)+6,3)</f>
        <v>#REF!</v>
      </c>
      <c r="Z34" s="17"/>
      <c r="AA34" s="17"/>
      <c r="AB34" t="s">
        <v>468</v>
      </c>
      <c r="AC34" s="18" t="s">
        <v>89</v>
      </c>
      <c r="AD34" s="19" t="e" cm="1">
        <f t="array" ref="AD34">INDEX(#REF!,MATCH(BackEnd!AC34,#REF!,0)+6,3)</f>
        <v>#REF!</v>
      </c>
      <c r="AE34" s="17"/>
      <c r="AF34" t="s">
        <v>468</v>
      </c>
      <c r="AG34" s="20" t="s">
        <v>193</v>
      </c>
      <c r="AH34" s="19" t="e" cm="1">
        <f t="array" ref="AH34">INDEX(#REF!,MATCH(BackEnd!AG34,#REF!,0)+6,3)</f>
        <v>#REF!</v>
      </c>
      <c r="AI34" s="17"/>
      <c r="AJ34" s="17"/>
      <c r="AK34" t="s">
        <v>468</v>
      </c>
      <c r="AL34" s="38" t="s">
        <v>284</v>
      </c>
      <c r="AM34" s="19" t="e" cm="1">
        <f t="array" ref="AM34">INDEX(#REF!,MATCH(BackEnd!AL34,#REF!,0)+6,3)</f>
        <v>#REF!</v>
      </c>
      <c r="AN34" s="17"/>
      <c r="AO34" s="17"/>
      <c r="AP34" t="s">
        <v>468</v>
      </c>
      <c r="AQ34" s="22" t="s">
        <v>123</v>
      </c>
      <c r="AR34" s="19" t="e" cm="1">
        <f t="array" ref="AR34">INDEX(#REF!,MATCH(BackEnd!AQ34,#REF!,0)+6,3)</f>
        <v>#REF!</v>
      </c>
      <c r="AU34" t="s">
        <v>468</v>
      </c>
      <c r="AV34" s="28" t="s">
        <v>394</v>
      </c>
      <c r="AW34" t="e" cm="1">
        <f t="array" ref="AW34">INDEX(#REF!,MATCH(BackEnd!AV34,#REF!,0)+6,3)</f>
        <v>#REF!</v>
      </c>
      <c r="AY34" s="37"/>
      <c r="AZ34" t="s">
        <v>468</v>
      </c>
      <c r="BA34" s="25" t="s">
        <v>156</v>
      </c>
      <c r="BB34" s="19" t="e" cm="1">
        <f t="array" ref="BB34">INDEX(#REF!,MATCH(BackEnd!BA34,#REF!,0)+6,3)</f>
        <v>#REF!</v>
      </c>
      <c r="BC34" s="37"/>
      <c r="BD34" s="37"/>
      <c r="BE34" t="s">
        <v>468</v>
      </c>
      <c r="BF34" s="26" t="s">
        <v>326</v>
      </c>
      <c r="BG34" s="27" t="e" cm="1">
        <f t="array" ref="BG34">INDEX(#REF!,MATCH(BackEnd!BF34,#REF!,0)+6,3)</f>
        <v>#REF!</v>
      </c>
      <c r="BH34" s="37"/>
      <c r="BI34" s="37"/>
      <c r="BJ34" s="37"/>
      <c r="BK34" s="37"/>
      <c r="BL34" s="33"/>
      <c r="BM34" s="36"/>
      <c r="BN34" s="34"/>
      <c r="BO34" s="34"/>
      <c r="BP34" s="34"/>
      <c r="BQ34" s="34"/>
      <c r="BR34" s="34"/>
      <c r="BS34" s="34"/>
      <c r="BT34" s="34"/>
      <c r="BU34" s="35"/>
      <c r="BV34" s="36"/>
      <c r="BW34" s="36"/>
      <c r="BX34" s="36"/>
      <c r="BY34" s="36"/>
      <c r="BZ34" s="36"/>
    </row>
    <row r="35" spans="1:78" ht="15" customHeight="1" x14ac:dyDescent="0.25">
      <c r="A35" t="str">
        <v>Table 30</v>
      </c>
      <c r="B35" t="str">
        <v>N_QBI (Great taste /great tasting) Now we would like your impressions of some INSTANT NOODLES brands, whether or not you have tried them yourself</v>
      </c>
      <c r="C35" t="e">
        <v>#REF!</v>
      </c>
      <c r="M35" t="s">
        <v>469</v>
      </c>
      <c r="N35" s="14" t="s">
        <v>235</v>
      </c>
      <c r="O35" t="e" cm="1">
        <f t="array" ref="O35">INDEX(#REF!,MATCH(BackEnd!N35,#REF!,0)+6,3)</f>
        <v>#REF!</v>
      </c>
      <c r="R35" t="s">
        <v>469</v>
      </c>
      <c r="S35" s="15" t="s">
        <v>363</v>
      </c>
      <c r="T35" t="e" cm="1">
        <f t="array" ref="T35">INDEX(#REF!,MATCH(BackEnd!S35,#REF!,0)+6,3)</f>
        <v>#REF!</v>
      </c>
      <c r="W35" t="s">
        <v>469</v>
      </c>
      <c r="X35" s="16" t="s">
        <v>33</v>
      </c>
      <c r="Y35" s="17" t="e" cm="1">
        <f t="array" ref="Y35">INDEX(#REF!,MATCH(BackEnd!X35,#REF!,0)+6,3)</f>
        <v>#REF!</v>
      </c>
      <c r="Z35" s="17"/>
      <c r="AA35" s="17"/>
      <c r="AB35" t="s">
        <v>469</v>
      </c>
      <c r="AC35" s="18" t="s">
        <v>90</v>
      </c>
      <c r="AD35" s="19" t="e" cm="1">
        <f t="array" ref="AD35">INDEX(#REF!,MATCH(BackEnd!AC35,#REF!,0)+6,3)</f>
        <v>#REF!</v>
      </c>
      <c r="AE35" s="17"/>
      <c r="AF35" t="s">
        <v>469</v>
      </c>
      <c r="AG35" s="20" t="s">
        <v>194</v>
      </c>
      <c r="AH35" s="19" t="e" cm="1">
        <f t="array" ref="AH35">INDEX(#REF!,MATCH(BackEnd!AG35,#REF!,0)+6,3)</f>
        <v>#REF!</v>
      </c>
      <c r="AI35" s="17"/>
      <c r="AJ35" s="32"/>
      <c r="AK35" t="s">
        <v>469</v>
      </c>
      <c r="AL35" s="38" t="s">
        <v>285</v>
      </c>
      <c r="AM35" s="19" t="e" cm="1">
        <f t="array" ref="AM35">INDEX(#REF!,MATCH(BackEnd!AL35,#REF!,0)+6,3)</f>
        <v>#REF!</v>
      </c>
      <c r="AP35" t="s">
        <v>469</v>
      </c>
      <c r="AQ35" s="22" t="s">
        <v>124</v>
      </c>
      <c r="AR35" s="19" t="e" cm="1">
        <f t="array" ref="AR35">INDEX(#REF!,MATCH(BackEnd!AQ35,#REF!,0)+6,3)</f>
        <v>#REF!</v>
      </c>
      <c r="AU35" t="s">
        <v>469</v>
      </c>
      <c r="AV35" s="28" t="s">
        <v>395</v>
      </c>
      <c r="AW35" t="e" cm="1">
        <f t="array" ref="AW35">INDEX(#REF!,MATCH(BackEnd!AV35,#REF!,0)+6,3)</f>
        <v>#REF!</v>
      </c>
      <c r="AY35" s="37"/>
      <c r="AZ35" t="s">
        <v>469</v>
      </c>
      <c r="BA35" s="25" t="s">
        <v>157</v>
      </c>
      <c r="BB35" s="19" t="e" cm="1">
        <f t="array" ref="BB35">INDEX(#REF!,MATCH(BackEnd!BA35,#REF!,0)+6,3)</f>
        <v>#REF!</v>
      </c>
      <c r="BC35" s="37"/>
      <c r="BD35" s="37"/>
      <c r="BE35" t="s">
        <v>469</v>
      </c>
      <c r="BF35" s="26" t="s">
        <v>327</v>
      </c>
      <c r="BG35" s="27" t="e" cm="1">
        <f t="array" ref="BG35">INDEX(#REF!,MATCH(BackEnd!BF35,#REF!,0)+6,3)</f>
        <v>#REF!</v>
      </c>
      <c r="BH35" s="37"/>
      <c r="BI35" s="37"/>
      <c r="BJ35" s="37"/>
      <c r="BK35" s="37"/>
      <c r="BL35" s="37"/>
      <c r="BM35" s="33"/>
      <c r="BN35" s="34"/>
      <c r="BO35" s="34"/>
      <c r="BP35" s="34"/>
      <c r="BQ35" s="34"/>
      <c r="BR35" s="34"/>
      <c r="BS35" s="34"/>
      <c r="BT35" s="34"/>
      <c r="BU35" s="35"/>
      <c r="BV35" s="36"/>
      <c r="BW35" s="36"/>
      <c r="BX35" s="36"/>
      <c r="BY35" s="36"/>
      <c r="BZ35" s="36"/>
    </row>
    <row r="36" spans="1:78" ht="15" customHeight="1" x14ac:dyDescent="0.25">
      <c r="A36" t="str">
        <v>Table 31</v>
      </c>
      <c r="B36" t="str">
        <v>N_QBI (Satisfying/Filling for you) Now we would like your impressions of some INSTANT NOODLES brands, whether or not you have tried them yourself</v>
      </c>
      <c r="C36" t="e">
        <v>#REF!</v>
      </c>
      <c r="M36" t="s">
        <v>470</v>
      </c>
      <c r="N36" s="14" t="s">
        <v>236</v>
      </c>
      <c r="O36" t="e" cm="1">
        <f t="array" ref="O36">INDEX(#REF!,MATCH(BackEnd!N36,#REF!,0)+6,3)</f>
        <v>#REF!</v>
      </c>
      <c r="R36" t="s">
        <v>470</v>
      </c>
      <c r="S36" s="15" t="s">
        <v>364</v>
      </c>
      <c r="T36" t="e" cm="1">
        <f t="array" ref="T36">INDEX(#REF!,MATCH(BackEnd!S36,#REF!,0)+6,3)</f>
        <v>#REF!</v>
      </c>
      <c r="W36" t="s">
        <v>470</v>
      </c>
      <c r="X36" s="16" t="s">
        <v>34</v>
      </c>
      <c r="Y36" s="17" t="e" cm="1">
        <f t="array" ref="Y36">INDEX(#REF!,MATCH(BackEnd!X36,#REF!,0)+6,3)</f>
        <v>#REF!</v>
      </c>
      <c r="Z36" s="17"/>
      <c r="AA36" s="17"/>
      <c r="AB36" s="17"/>
      <c r="AC36" s="17"/>
      <c r="AD36" s="17"/>
      <c r="AE36" s="17"/>
      <c r="AF36" t="s">
        <v>470</v>
      </c>
      <c r="AG36" s="20" t="s">
        <v>195</v>
      </c>
      <c r="AH36" s="19" t="e" cm="1">
        <f t="array" ref="AH36">INDEX(#REF!,MATCH(BackEnd!AG36,#REF!,0)+6,3)</f>
        <v>#REF!</v>
      </c>
      <c r="AI36" s="17"/>
      <c r="AJ36" s="17"/>
      <c r="AK36" t="s">
        <v>470</v>
      </c>
      <c r="AL36" s="38" t="s">
        <v>286</v>
      </c>
      <c r="AM36" s="19" t="e" cm="1">
        <f t="array" ref="AM36">INDEX(#REF!,MATCH(BackEnd!AL36,#REF!,0)+6,3)</f>
        <v>#REF!</v>
      </c>
      <c r="AP36" t="s">
        <v>470</v>
      </c>
      <c r="AQ36" s="22" t="s">
        <v>125</v>
      </c>
      <c r="AR36" s="19" t="e" cm="1">
        <f t="array" ref="AR36">INDEX(#REF!,MATCH(BackEnd!AQ36,#REF!,0)+6,3)</f>
        <v>#REF!</v>
      </c>
      <c r="AU36" t="s">
        <v>470</v>
      </c>
      <c r="AV36" s="28" t="s">
        <v>396</v>
      </c>
      <c r="AW36" t="e" cm="1">
        <f t="array" ref="AW36">INDEX(#REF!,MATCH(BackEnd!AV36,#REF!,0)+6,3)</f>
        <v>#REF!</v>
      </c>
      <c r="AY36" s="37"/>
      <c r="AZ36" t="s">
        <v>470</v>
      </c>
      <c r="BA36" s="25" t="s">
        <v>158</v>
      </c>
      <c r="BB36" s="19" t="e" cm="1">
        <f t="array" ref="BB36">INDEX(#REF!,MATCH(BackEnd!BA36,#REF!,0)+6,3)</f>
        <v>#REF!</v>
      </c>
      <c r="BC36" s="37"/>
      <c r="BD36" s="37"/>
      <c r="BE36" t="s">
        <v>470</v>
      </c>
      <c r="BF36" s="26" t="s">
        <v>328</v>
      </c>
      <c r="BG36" s="27" t="e" cm="1">
        <f t="array" ref="BG36">INDEX(#REF!,MATCH(BackEnd!BF36,#REF!,0)+6,3)</f>
        <v>#REF!</v>
      </c>
      <c r="BH36" s="37"/>
      <c r="BI36" s="37"/>
      <c r="BJ36" s="37"/>
      <c r="BK36" s="33"/>
      <c r="BL36" s="36"/>
      <c r="BM36" s="36"/>
      <c r="BN36" s="34"/>
      <c r="BO36" s="34"/>
      <c r="BP36" s="34"/>
      <c r="BQ36" s="34"/>
      <c r="BR36" s="34"/>
      <c r="BS36" s="34"/>
      <c r="BT36" s="35"/>
      <c r="BU36" s="36"/>
      <c r="BV36" s="36"/>
      <c r="BW36" s="36"/>
      <c r="BX36" s="36"/>
      <c r="BY36" s="36"/>
      <c r="BZ36" s="36"/>
    </row>
    <row r="37" spans="1:78" ht="15" customHeight="1" x14ac:dyDescent="0.25">
      <c r="A37" t="str">
        <v>Table 32</v>
      </c>
      <c r="B37" t="str">
        <v>N_QBI (Good for children) Now we would like your impressions of some INSTANT NOODLES brands, whether or not you have tried them yourself</v>
      </c>
      <c r="C37" t="e">
        <v>#REF!</v>
      </c>
      <c r="M37" t="s">
        <v>471</v>
      </c>
      <c r="N37" s="14" t="s">
        <v>237</v>
      </c>
      <c r="O37" t="e" cm="1">
        <f t="array" ref="O37">INDEX(#REF!,MATCH(BackEnd!N37,#REF!,0)+6,3)</f>
        <v>#REF!</v>
      </c>
      <c r="R37" t="s">
        <v>471</v>
      </c>
      <c r="S37" s="15" t="s">
        <v>365</v>
      </c>
      <c r="T37" t="e" cm="1">
        <f t="array" ref="T37">INDEX(#REF!,MATCH(BackEnd!S37,#REF!,0)+6,3)</f>
        <v>#REF!</v>
      </c>
      <c r="W37" t="s">
        <v>471</v>
      </c>
      <c r="X37" s="16" t="s">
        <v>35</v>
      </c>
      <c r="Y37" s="17" t="e" cm="1">
        <f t="array" ref="Y37">INDEX(#REF!,MATCH(BackEnd!X37,#REF!,0)+6,3)</f>
        <v>#REF!</v>
      </c>
      <c r="Z37" s="17"/>
      <c r="AA37" s="17"/>
      <c r="AB37" s="17"/>
      <c r="AC37" s="17"/>
      <c r="AD37" s="17"/>
      <c r="AE37" s="17"/>
      <c r="AF37" t="s">
        <v>471</v>
      </c>
      <c r="AG37" s="20" t="s">
        <v>196</v>
      </c>
      <c r="AH37" s="19" t="e" cm="1">
        <f t="array" ref="AH37">INDEX(#REF!,MATCH(BackEnd!AG37,#REF!,0)+6,3)</f>
        <v>#REF!</v>
      </c>
      <c r="AI37" s="17"/>
      <c r="AJ37" s="17"/>
      <c r="AK37" t="s">
        <v>471</v>
      </c>
      <c r="AL37" s="39" t="s">
        <v>287</v>
      </c>
      <c r="AM37" s="19" t="e" cm="1">
        <f t="array" ref="AM37">INDEX(#REF!,MATCH(BackEnd!AL37,#REF!,0)+6,3)</f>
        <v>#REF!</v>
      </c>
      <c r="AN37" s="17"/>
      <c r="AO37" s="17"/>
      <c r="AP37" t="s">
        <v>471</v>
      </c>
      <c r="AQ37" s="22" t="s">
        <v>126</v>
      </c>
      <c r="AR37" s="19" t="e" cm="1">
        <f t="array" ref="AR37">INDEX(#REF!,MATCH(BackEnd!AQ37,#REF!,0)+6,3)</f>
        <v>#REF!</v>
      </c>
      <c r="AS37" s="32"/>
      <c r="AU37" t="s">
        <v>471</v>
      </c>
      <c r="AV37" s="28" t="s">
        <v>397</v>
      </c>
      <c r="AW37" t="e" cm="1">
        <f t="array" ref="AW37">INDEX(#REF!,MATCH(BackEnd!AV37,#REF!,0)+6,3)</f>
        <v>#REF!</v>
      </c>
      <c r="AY37" s="37"/>
      <c r="AZ37" t="s">
        <v>471</v>
      </c>
      <c r="BA37" s="25" t="s">
        <v>159</v>
      </c>
      <c r="BB37" s="19" t="e" cm="1">
        <f t="array" ref="BB37">INDEX(#REF!,MATCH(BackEnd!BA37,#REF!,0)+6,3)</f>
        <v>#REF!</v>
      </c>
      <c r="BC37" s="37"/>
      <c r="BD37" s="37"/>
      <c r="BE37" t="s">
        <v>471</v>
      </c>
      <c r="BF37" s="26" t="s">
        <v>329</v>
      </c>
      <c r="BG37" s="27" t="e" cm="1">
        <f t="array" ref="BG37">INDEX(#REF!,MATCH(BackEnd!BF37,#REF!,0)+6,3)</f>
        <v>#REF!</v>
      </c>
      <c r="BH37" s="37"/>
      <c r="BI37" s="37"/>
      <c r="BJ37" s="37"/>
      <c r="BK37" s="37"/>
      <c r="BL37" s="37"/>
      <c r="BM37" s="33"/>
      <c r="BN37" s="34"/>
      <c r="BO37" s="35"/>
      <c r="BP37" s="36"/>
      <c r="BQ37" s="36"/>
      <c r="BR37" s="36"/>
      <c r="BS37" s="36"/>
      <c r="BT37" s="36"/>
      <c r="BU37" s="36"/>
      <c r="BV37" s="36"/>
      <c r="BW37" s="36"/>
      <c r="BX37" s="36"/>
      <c r="BY37" s="36"/>
      <c r="BZ37" s="36"/>
    </row>
    <row r="38" spans="1:78" ht="15" customHeight="1" x14ac:dyDescent="0.25">
      <c r="A38" t="str">
        <v>Table 33</v>
      </c>
      <c r="B38" t="str">
        <v>N_QBI (Rich in Vitamins and Protein/Nutritious) Now we would like your impressions of some INSTANT NOODLES brands, whether or not you have tried them yourself</v>
      </c>
      <c r="C38" t="e">
        <v>#REF!</v>
      </c>
      <c r="M38" t="s">
        <v>472</v>
      </c>
      <c r="N38" s="14" t="s">
        <v>238</v>
      </c>
      <c r="O38" t="e" cm="1">
        <f t="array" ref="O38">INDEX(#REF!,MATCH(BackEnd!N38,#REF!,0)+6,3)</f>
        <v>#REF!</v>
      </c>
      <c r="R38" t="s">
        <v>472</v>
      </c>
      <c r="S38" s="15" t="s">
        <v>366</v>
      </c>
      <c r="T38" t="e" cm="1">
        <f t="array" ref="T38">INDEX(#REF!,MATCH(BackEnd!S38,#REF!,0)+6,3)</f>
        <v>#REF!</v>
      </c>
      <c r="W38" t="s">
        <v>472</v>
      </c>
      <c r="X38" s="16" t="s">
        <v>36</v>
      </c>
      <c r="Y38" s="17" t="e" cm="1">
        <f t="array" ref="Y38">INDEX(#REF!,MATCH(BackEnd!X38,#REF!,0)+6,3)</f>
        <v>#REF!</v>
      </c>
      <c r="Z38" s="17"/>
      <c r="AA38" s="17"/>
      <c r="AB38" s="17"/>
      <c r="AC38" s="17"/>
      <c r="AD38" s="17"/>
      <c r="AE38" s="17"/>
      <c r="AF38" t="s">
        <v>472</v>
      </c>
      <c r="AG38" s="20" t="s">
        <v>197</v>
      </c>
      <c r="AH38" s="19" t="e" cm="1">
        <f t="array" ref="AH38">INDEX(#REF!,MATCH(BackEnd!AG38,#REF!,0)+6,3)</f>
        <v>#REF!</v>
      </c>
      <c r="AI38" s="17"/>
      <c r="AJ38" s="17"/>
      <c r="AK38" t="s">
        <v>472</v>
      </c>
      <c r="AL38" s="39" t="s">
        <v>288</v>
      </c>
      <c r="AM38" s="19" t="e" cm="1">
        <f t="array" ref="AM38">INDEX(#REF!,MATCH(BackEnd!AL38,#REF!,0)+6,3)</f>
        <v>#REF!</v>
      </c>
      <c r="AN38" s="17"/>
      <c r="AO38" s="17"/>
      <c r="AP38" t="s">
        <v>472</v>
      </c>
      <c r="AQ38" s="22" t="s">
        <v>127</v>
      </c>
      <c r="AR38" s="19" t="e" cm="1">
        <f t="array" ref="AR38">INDEX(#REF!,MATCH(BackEnd!AQ38,#REF!,0)+6,3)</f>
        <v>#REF!</v>
      </c>
      <c r="AS38" s="32"/>
      <c r="AU38" t="s">
        <v>472</v>
      </c>
      <c r="AV38" s="28" t="s">
        <v>398</v>
      </c>
      <c r="AW38" t="e" cm="1">
        <f t="array" ref="AW38">INDEX(#REF!,MATCH(BackEnd!AV38,#REF!,0)+6,3)</f>
        <v>#REF!</v>
      </c>
      <c r="AY38" s="37"/>
      <c r="AZ38" t="s">
        <v>472</v>
      </c>
      <c r="BA38" s="25" t="s">
        <v>160</v>
      </c>
      <c r="BB38" s="19" t="e" cm="1">
        <f t="array" ref="BB38">INDEX(#REF!,MATCH(BackEnd!BA38,#REF!,0)+6,3)</f>
        <v>#REF!</v>
      </c>
      <c r="BC38" s="37"/>
      <c r="BD38" s="37"/>
      <c r="BE38" s="37"/>
      <c r="BF38" s="37"/>
      <c r="BG38" s="37"/>
      <c r="BH38" s="37"/>
      <c r="BI38" s="37"/>
      <c r="BJ38" s="33"/>
      <c r="BK38" s="36"/>
      <c r="BL38" s="36"/>
      <c r="BM38" s="36"/>
      <c r="BN38" s="34"/>
      <c r="BO38" s="35"/>
      <c r="BP38" s="36"/>
      <c r="BQ38" s="36"/>
      <c r="BR38" s="36"/>
      <c r="BS38" s="36"/>
      <c r="BT38" s="36"/>
      <c r="BU38" s="36"/>
      <c r="BV38" s="36"/>
      <c r="BW38" s="36"/>
      <c r="BX38" s="36"/>
      <c r="BY38" s="36"/>
      <c r="BZ38" s="36"/>
    </row>
    <row r="39" spans="1:78" ht="15" customHeight="1" x14ac:dyDescent="0.25">
      <c r="A39" t="str">
        <v>Table 34</v>
      </c>
      <c r="B39" t="str">
        <v>N_QBI (It’s an aspirational brand) Now we would like your impressions of some INSTANT NOODLES brands, whether or not you have tried them yourself</v>
      </c>
      <c r="C39" t="e">
        <v>#REF!</v>
      </c>
      <c r="M39" t="s">
        <v>473</v>
      </c>
      <c r="N39" s="14" t="s">
        <v>239</v>
      </c>
      <c r="O39" t="e" cm="1">
        <f t="array" ref="O39">INDEX(#REF!,MATCH(BackEnd!N39,#REF!,0)+6,3)</f>
        <v>#REF!</v>
      </c>
      <c r="R39" t="s">
        <v>473</v>
      </c>
      <c r="S39" s="15" t="s">
        <v>367</v>
      </c>
      <c r="T39" t="e" cm="1">
        <f t="array" ref="T39">INDEX(#REF!,MATCH(BackEnd!S39,#REF!,0)+6,3)</f>
        <v>#REF!</v>
      </c>
      <c r="W39" t="s">
        <v>473</v>
      </c>
      <c r="X39" s="16" t="s">
        <v>37</v>
      </c>
      <c r="Y39" s="17" t="e" cm="1">
        <f t="array" ref="Y39">INDEX(#REF!,MATCH(BackEnd!X39,#REF!,0)+6,3)</f>
        <v>#REF!</v>
      </c>
      <c r="Z39" s="17"/>
      <c r="AA39" s="17"/>
      <c r="AB39" s="17"/>
      <c r="AC39" s="17"/>
      <c r="AD39" s="17"/>
      <c r="AE39" s="17"/>
      <c r="AF39" t="s">
        <v>473</v>
      </c>
      <c r="AG39" s="20" t="s">
        <v>198</v>
      </c>
      <c r="AH39" s="19" t="e" cm="1">
        <f t="array" ref="AH39">INDEX(#REF!,MATCH(BackEnd!AG39,#REF!,0)+6,3)</f>
        <v>#REF!</v>
      </c>
      <c r="AI39" s="17"/>
      <c r="AJ39" s="17"/>
      <c r="AK39" t="s">
        <v>473</v>
      </c>
      <c r="AL39" s="39" t="s">
        <v>289</v>
      </c>
      <c r="AM39" s="19" t="e" cm="1">
        <f t="array" ref="AM39">INDEX(#REF!,MATCH(BackEnd!AL39,#REF!,0)+6,3)</f>
        <v>#REF!</v>
      </c>
      <c r="AN39" s="17"/>
      <c r="AO39" s="17"/>
      <c r="AP39" s="17"/>
      <c r="AQ39" s="17"/>
      <c r="AR39" s="17"/>
      <c r="AS39" s="32"/>
      <c r="AU39" t="s">
        <v>473</v>
      </c>
      <c r="AV39" s="28" t="s">
        <v>399</v>
      </c>
      <c r="AW39" t="e" cm="1">
        <f t="array" ref="AW39">INDEX(#REF!,MATCH(BackEnd!AV39,#REF!,0)+6,3)</f>
        <v>#REF!</v>
      </c>
      <c r="AY39" s="37"/>
      <c r="AZ39" s="37"/>
      <c r="BA39" s="37"/>
      <c r="BB39" s="37"/>
      <c r="BC39" s="37"/>
      <c r="BD39" s="37"/>
      <c r="BE39" s="37"/>
      <c r="BF39" s="37"/>
      <c r="BG39" s="37"/>
      <c r="BH39" s="37"/>
      <c r="BI39" s="33"/>
      <c r="BJ39" s="40"/>
      <c r="BK39" s="36"/>
      <c r="BL39" s="36"/>
      <c r="BM39" s="36"/>
      <c r="BN39" s="36"/>
      <c r="BO39" s="36"/>
      <c r="BP39" s="36"/>
      <c r="BQ39" s="36"/>
      <c r="BR39" s="36"/>
      <c r="BS39" s="36"/>
      <c r="BT39" s="36"/>
      <c r="BU39" s="36"/>
      <c r="BV39" s="36"/>
      <c r="BW39" s="36"/>
      <c r="BX39" s="36"/>
      <c r="BY39" s="36"/>
      <c r="BZ39" s="36"/>
    </row>
    <row r="40" spans="1:78" ht="15" customHeight="1" x14ac:dyDescent="0.25">
      <c r="A40" t="str">
        <v>Table 35</v>
      </c>
      <c r="B40" t="str">
        <v>N_QBI (It’s a brand I would recommend to others) Now we would like your impressions of some INSTANT NOODLES brands, whether or not you have tried them yourself</v>
      </c>
      <c r="C40" t="e">
        <v>#REF!</v>
      </c>
      <c r="M40" t="s">
        <v>474</v>
      </c>
      <c r="N40" s="14" t="s">
        <v>240</v>
      </c>
      <c r="O40" t="e" cm="1">
        <f t="array" ref="O40">INDEX(#REF!,MATCH(BackEnd!N40,#REF!,0)+6,3)</f>
        <v>#REF!</v>
      </c>
      <c r="R40" t="s">
        <v>474</v>
      </c>
      <c r="S40" s="15" t="s">
        <v>368</v>
      </c>
      <c r="T40" t="e" cm="1">
        <f t="array" ref="T40">INDEX(#REF!,MATCH(BackEnd!S40,#REF!,0)+6,3)</f>
        <v>#REF!</v>
      </c>
      <c r="W40" t="s">
        <v>474</v>
      </c>
      <c r="X40" s="16" t="s">
        <v>38</v>
      </c>
      <c r="Y40" s="17" t="e" cm="1">
        <f t="array" ref="Y40">INDEX(#REF!,MATCH(BackEnd!X40,#REF!,0)+6,3)</f>
        <v>#REF!</v>
      </c>
      <c r="Z40" s="17"/>
      <c r="AA40" s="17"/>
      <c r="AB40" s="17"/>
      <c r="AC40" s="17"/>
      <c r="AD40" s="17"/>
      <c r="AE40" s="17"/>
      <c r="AF40" t="s">
        <v>474</v>
      </c>
      <c r="AG40" s="20" t="s">
        <v>199</v>
      </c>
      <c r="AH40" s="19" t="e" cm="1">
        <f t="array" ref="AH40">INDEX(#REF!,MATCH(BackEnd!AG40,#REF!,0)+6,3)</f>
        <v>#REF!</v>
      </c>
      <c r="AI40" s="17"/>
      <c r="AJ40" s="17"/>
      <c r="AK40" t="s">
        <v>474</v>
      </c>
      <c r="AL40" s="39" t="s">
        <v>290</v>
      </c>
      <c r="AM40" s="19" t="e" cm="1">
        <f t="array" ref="AM40">INDEX(#REF!,MATCH(BackEnd!AL40,#REF!,0)+6,3)</f>
        <v>#REF!</v>
      </c>
      <c r="AN40" s="17"/>
      <c r="AO40" s="17"/>
      <c r="AP40" s="17"/>
      <c r="AQ40" s="17"/>
      <c r="AR40" s="17"/>
      <c r="AS40" s="32"/>
      <c r="AU40" t="s">
        <v>474</v>
      </c>
      <c r="AV40" s="28" t="s">
        <v>400</v>
      </c>
      <c r="AW40" t="e" cm="1">
        <f t="array" ref="AW40">INDEX(#REF!,MATCH(BackEnd!AV40,#REF!,0)+6,3)</f>
        <v>#REF!</v>
      </c>
      <c r="AY40" s="37"/>
      <c r="AZ40" s="37"/>
      <c r="BA40" s="37"/>
      <c r="BB40" s="37"/>
      <c r="BC40" s="37"/>
      <c r="BD40" s="37"/>
      <c r="BE40" s="37"/>
      <c r="BF40" s="37"/>
      <c r="BG40" s="37"/>
      <c r="BH40" s="37"/>
      <c r="BI40" s="37"/>
      <c r="BJ40" s="37"/>
      <c r="BK40" s="33"/>
      <c r="BL40" s="40"/>
      <c r="BM40" s="40"/>
      <c r="BN40" s="34"/>
      <c r="BO40" s="34"/>
      <c r="BP40" s="34"/>
      <c r="BQ40" s="34"/>
      <c r="BR40" s="34"/>
      <c r="BS40" s="34"/>
      <c r="BT40" s="34"/>
      <c r="BU40" s="34"/>
      <c r="BV40" s="34"/>
      <c r="BW40" s="34"/>
      <c r="BX40" s="34"/>
      <c r="BY40" s="34"/>
      <c r="BZ40" s="35"/>
    </row>
    <row r="41" spans="1:78" ht="15" customHeight="1" x14ac:dyDescent="0.25">
      <c r="A41" t="str">
        <v>Table 36</v>
      </c>
      <c r="B41" t="str">
        <v>N_QBI (Provides convenient on-the-go meal options when I need) Now we would like your impressions of some INSTANT NOODLES brands, whether or not you have tried them yourself</v>
      </c>
      <c r="C41" t="e">
        <v>#REF!</v>
      </c>
      <c r="M41" t="s">
        <v>475</v>
      </c>
      <c r="N41" s="14" t="s">
        <v>241</v>
      </c>
      <c r="O41" t="e" cm="1">
        <f t="array" ref="O41">INDEX(#REF!,MATCH(BackEnd!N41,#REF!,0)+6,3)</f>
        <v>#REF!</v>
      </c>
      <c r="R41" t="s">
        <v>475</v>
      </c>
      <c r="S41" s="15" t="s">
        <v>369</v>
      </c>
      <c r="T41" t="e" cm="1">
        <f t="array" ref="T41">INDEX(#REF!,MATCH(BackEnd!S41,#REF!,0)+6,3)</f>
        <v>#REF!</v>
      </c>
      <c r="W41" t="s">
        <v>475</v>
      </c>
      <c r="X41" s="16" t="s">
        <v>39</v>
      </c>
      <c r="Y41" s="17" t="e" cm="1">
        <f t="array" ref="Y41">INDEX(#REF!,MATCH(BackEnd!X41,#REF!,0)+6,3)</f>
        <v>#REF!</v>
      </c>
      <c r="Z41" s="17"/>
      <c r="AA41" s="17"/>
      <c r="AB41" s="17"/>
      <c r="AC41" s="17"/>
      <c r="AD41" s="17"/>
      <c r="AE41" s="17"/>
      <c r="AF41" t="s">
        <v>475</v>
      </c>
      <c r="AG41" s="20" t="s">
        <v>200</v>
      </c>
      <c r="AH41" s="19" t="e" cm="1">
        <f t="array" ref="AH41">INDEX(#REF!,MATCH(BackEnd!AG41,#REF!,0)+6,3)</f>
        <v>#REF!</v>
      </c>
      <c r="AI41" s="17"/>
      <c r="AJ41" s="17"/>
      <c r="AK41" t="s">
        <v>475</v>
      </c>
      <c r="AL41" s="39" t="s">
        <v>291</v>
      </c>
      <c r="AM41" s="19" t="e" cm="1">
        <f t="array" ref="AM41">INDEX(#REF!,MATCH(BackEnd!AL41,#REF!,0)+6,3)</f>
        <v>#REF!</v>
      </c>
      <c r="AN41" s="17"/>
      <c r="AO41" s="17"/>
      <c r="AP41" s="17"/>
      <c r="AQ41" s="17"/>
      <c r="AR41" s="17"/>
      <c r="AS41" s="17"/>
      <c r="AT41" s="17"/>
      <c r="AU41" t="s">
        <v>475</v>
      </c>
      <c r="AV41" s="28" t="s">
        <v>401</v>
      </c>
      <c r="AW41" t="e" cm="1">
        <f t="array" ref="AW41">INDEX(#REF!,MATCH(BackEnd!AV41,#REF!,0)+6,3)</f>
        <v>#REF!</v>
      </c>
      <c r="AX41" s="32"/>
      <c r="AY41" s="37"/>
      <c r="AZ41" s="37"/>
      <c r="BA41" s="37"/>
      <c r="BB41" s="37"/>
      <c r="BC41" s="37"/>
      <c r="BD41" s="37"/>
      <c r="BE41" s="37"/>
      <c r="BF41" s="37"/>
      <c r="BG41" s="37"/>
      <c r="BH41" s="37"/>
      <c r="BI41" s="37"/>
      <c r="BJ41" s="37"/>
      <c r="BK41" s="37"/>
      <c r="BL41" s="37"/>
      <c r="BM41" s="33"/>
      <c r="BN41" s="34"/>
      <c r="BO41" s="34"/>
      <c r="BP41" s="34"/>
      <c r="BQ41" s="34"/>
      <c r="BR41" s="34"/>
      <c r="BS41" s="34"/>
      <c r="BT41" s="34"/>
      <c r="BU41" s="34"/>
      <c r="BV41" s="34"/>
      <c r="BW41" s="34"/>
      <c r="BX41" s="34"/>
      <c r="BY41" s="34"/>
      <c r="BZ41" s="35"/>
    </row>
    <row r="42" spans="1:78" ht="15" customHeight="1" x14ac:dyDescent="0.25">
      <c r="A42" t="str">
        <v>Table 37</v>
      </c>
      <c r="B42" t="str">
        <v>N_QBI (A brand that enables to achieve success) Now we would like your impressions of some INSTANT NOODLES brands, whether or not you have tried them yourself</v>
      </c>
      <c r="C42" t="e">
        <v>#REF!</v>
      </c>
      <c r="M42" t="s">
        <v>476</v>
      </c>
      <c r="N42" s="14" t="s">
        <v>242</v>
      </c>
      <c r="O42" t="e" cm="1">
        <f t="array" ref="O42">INDEX(#REF!,MATCH(BackEnd!N42,#REF!,0)+6,3)</f>
        <v>#REF!</v>
      </c>
      <c r="R42" t="s">
        <v>476</v>
      </c>
      <c r="S42" s="15" t="s">
        <v>370</v>
      </c>
      <c r="T42" t="e" cm="1">
        <f t="array" ref="T42">INDEX(#REF!,MATCH(BackEnd!S42,#REF!,0)+6,3)</f>
        <v>#REF!</v>
      </c>
      <c r="W42" t="s">
        <v>476</v>
      </c>
      <c r="X42" s="16" t="s">
        <v>40</v>
      </c>
      <c r="Y42" s="17" t="e" cm="1">
        <f t="array" ref="Y42">INDEX(#REF!,MATCH(BackEnd!X42,#REF!,0)+6,3)</f>
        <v>#REF!</v>
      </c>
      <c r="Z42" s="17"/>
      <c r="AA42" s="17"/>
      <c r="AB42" s="17"/>
      <c r="AC42" s="17"/>
      <c r="AD42" s="17"/>
      <c r="AE42" s="17"/>
      <c r="AF42" t="s">
        <v>476</v>
      </c>
      <c r="AG42" s="20" t="s">
        <v>201</v>
      </c>
      <c r="AH42" s="19" t="e" cm="1">
        <f t="array" ref="AH42">INDEX(#REF!,MATCH(BackEnd!AG42,#REF!,0)+6,3)</f>
        <v>#REF!</v>
      </c>
      <c r="AI42" s="17"/>
      <c r="AJ42" s="17"/>
      <c r="AK42" t="s">
        <v>476</v>
      </c>
      <c r="AL42" s="39" t="s">
        <v>292</v>
      </c>
      <c r="AM42" s="19" t="e" cm="1">
        <f t="array" ref="AM42">INDEX(#REF!,MATCH(BackEnd!AL42,#REF!,0)+6,3)</f>
        <v>#REF!</v>
      </c>
      <c r="AN42" s="17"/>
      <c r="AO42" s="17"/>
      <c r="AP42" s="17"/>
      <c r="AQ42" s="17"/>
      <c r="AR42" s="17"/>
      <c r="AS42" s="32"/>
      <c r="AU42" t="s">
        <v>476</v>
      </c>
      <c r="AV42" s="28" t="s">
        <v>402</v>
      </c>
      <c r="AW42" t="e" cm="1">
        <f t="array" ref="AW42">INDEX(#REF!,MATCH(BackEnd!AV42,#REF!,0)+6,3)</f>
        <v>#REF!</v>
      </c>
      <c r="AY42" s="37"/>
      <c r="AZ42" s="37"/>
      <c r="BA42" s="37"/>
      <c r="BB42" s="37"/>
      <c r="BC42" s="37"/>
      <c r="BD42" s="37"/>
      <c r="BE42" s="37"/>
      <c r="BF42" s="37"/>
      <c r="BG42" s="37"/>
      <c r="BH42" s="33"/>
      <c r="BI42" s="36"/>
      <c r="BJ42" s="36"/>
      <c r="BK42" s="36"/>
      <c r="BL42" s="36"/>
      <c r="BM42" s="36"/>
      <c r="BN42" s="34"/>
      <c r="BO42" s="34"/>
      <c r="BP42" s="34"/>
      <c r="BQ42" s="34"/>
      <c r="BR42" s="34"/>
      <c r="BS42" s="34"/>
      <c r="BT42" s="34"/>
      <c r="BU42" s="34"/>
      <c r="BV42" s="34"/>
      <c r="BW42" s="34"/>
      <c r="BX42" s="34"/>
      <c r="BY42" s="34"/>
      <c r="BZ42" s="35"/>
    </row>
    <row r="43" spans="1:78" ht="15" customHeight="1" x14ac:dyDescent="0.25">
      <c r="A43" t="str">
        <v>Table 38</v>
      </c>
      <c r="B43" t="str">
        <v>QBI Summary: Noodles</v>
      </c>
      <c r="C43" t="e">
        <v>#REF!</v>
      </c>
      <c r="M43" t="s">
        <v>477</v>
      </c>
      <c r="N43" s="14" t="s">
        <v>243</v>
      </c>
      <c r="O43" t="e" cm="1">
        <f t="array" ref="O43">INDEX(#REF!,MATCH(BackEnd!N43,#REF!,0)+6,3)</f>
        <v>#REF!</v>
      </c>
      <c r="R43" t="s">
        <v>477</v>
      </c>
      <c r="S43" s="15" t="s">
        <v>371</v>
      </c>
      <c r="T43" t="e" cm="1">
        <f t="array" ref="T43">INDEX(#REF!,MATCH(BackEnd!S43,#REF!,0)+6,3)</f>
        <v>#REF!</v>
      </c>
      <c r="W43" t="s">
        <v>477</v>
      </c>
      <c r="X43" s="16" t="s">
        <v>41</v>
      </c>
      <c r="Y43" s="17" t="e" cm="1">
        <f t="array" ref="Y43">INDEX(#REF!,MATCH(BackEnd!X43,#REF!,0)+6,3)</f>
        <v>#REF!</v>
      </c>
      <c r="AK43" t="s">
        <v>477</v>
      </c>
      <c r="AL43" s="39" t="s">
        <v>293</v>
      </c>
      <c r="AM43" s="19" t="e" cm="1">
        <f t="array" ref="AM43">INDEX(#REF!,MATCH(BackEnd!AL43,#REF!,0)+6,3)</f>
        <v>#REF!</v>
      </c>
      <c r="AN43" s="41"/>
      <c r="AO43" s="41"/>
      <c r="AP43" s="41"/>
      <c r="AQ43" s="41"/>
      <c r="AR43" s="41"/>
      <c r="AS43" s="41"/>
      <c r="AT43" s="41"/>
      <c r="AU43" t="s">
        <v>477</v>
      </c>
      <c r="AV43" s="28" t="s">
        <v>403</v>
      </c>
      <c r="AW43" t="e" cm="1">
        <f t="array" ref="AW43">INDEX(#REF!,MATCH(BackEnd!AV43,#REF!,0)+6,3)</f>
        <v>#REF!</v>
      </c>
      <c r="AX43" s="37"/>
      <c r="AY43" s="37"/>
      <c r="AZ43" s="37"/>
      <c r="BA43" s="37"/>
      <c r="BB43" s="37"/>
      <c r="BC43" s="37"/>
      <c r="BD43" s="37"/>
      <c r="BE43" s="37"/>
      <c r="BF43" s="37"/>
      <c r="BG43" s="37"/>
      <c r="BH43" s="37"/>
      <c r="BI43" s="37"/>
      <c r="BJ43" s="37"/>
      <c r="BK43" s="37"/>
      <c r="BL43" s="33"/>
      <c r="BM43" s="36"/>
      <c r="BN43" s="34"/>
      <c r="BO43" s="34"/>
      <c r="BP43" s="34"/>
      <c r="BQ43" s="34"/>
      <c r="BR43" s="34"/>
      <c r="BS43" s="34"/>
      <c r="BT43" s="34"/>
      <c r="BU43" s="34"/>
      <c r="BV43" s="34"/>
      <c r="BW43" s="34"/>
      <c r="BX43" s="34"/>
      <c r="BY43" s="34"/>
      <c r="BZ43" s="35"/>
    </row>
    <row r="44" spans="1:78" ht="15" customHeight="1" x14ac:dyDescent="0.25">
      <c r="A44" t="str">
        <v>Table 39</v>
      </c>
      <c r="B44" t="str">
        <v>Noodles - Brand Total Spont</v>
      </c>
      <c r="C44" t="e">
        <v>#REF!</v>
      </c>
      <c r="M44" t="s">
        <v>478</v>
      </c>
      <c r="N44" s="14" t="s">
        <v>244</v>
      </c>
      <c r="O44" t="e" cm="1">
        <f t="array" ref="O44">INDEX(#REF!,MATCH(BackEnd!N44,#REF!,0)+6,3)</f>
        <v>#REF!</v>
      </c>
      <c r="S44" s="16"/>
      <c r="W44" t="s">
        <v>478</v>
      </c>
      <c r="X44" s="16" t="s">
        <v>42</v>
      </c>
      <c r="Y44" s="17" t="e" cm="1">
        <f t="array" ref="Y44">INDEX(#REF!,MATCH(BackEnd!X44,#REF!,0)+6,3)</f>
        <v>#REF!</v>
      </c>
      <c r="AK44" t="s">
        <v>478</v>
      </c>
      <c r="AL44" s="39" t="s">
        <v>294</v>
      </c>
      <c r="AM44" s="19" t="e" cm="1">
        <f t="array" ref="AM44">INDEX(#REF!,MATCH(BackEnd!AL44,#REF!,0)+6,3)</f>
        <v>#REF!</v>
      </c>
      <c r="AN44" s="41"/>
      <c r="AO44" s="41"/>
      <c r="AP44" s="41"/>
      <c r="AQ44" s="41"/>
      <c r="AR44" s="41"/>
      <c r="AS44" s="41"/>
      <c r="AT44" s="41"/>
      <c r="AV44" s="37"/>
      <c r="AW44" s="37"/>
      <c r="AX44" s="37"/>
      <c r="AY44" s="37"/>
      <c r="AZ44" s="37"/>
      <c r="BA44" s="37"/>
      <c r="BB44" s="37"/>
      <c r="BC44" s="37"/>
      <c r="BD44" s="37"/>
      <c r="BE44" s="37"/>
      <c r="BF44" s="37"/>
      <c r="BG44" s="37"/>
      <c r="BH44" s="37"/>
      <c r="BI44" s="37"/>
      <c r="BJ44" s="37"/>
      <c r="BK44" s="37"/>
      <c r="BL44" s="37"/>
      <c r="BM44" s="33"/>
      <c r="BN44" s="34"/>
      <c r="BO44" s="34"/>
      <c r="BP44" s="34"/>
      <c r="BQ44" s="34"/>
      <c r="BR44" s="34"/>
      <c r="BS44" s="34"/>
      <c r="BT44" s="34"/>
      <c r="BU44" s="34"/>
      <c r="BV44" s="34"/>
      <c r="BW44" s="34"/>
      <c r="BX44" s="34"/>
      <c r="BY44" s="34"/>
      <c r="BZ44" s="35"/>
    </row>
    <row r="45" spans="1:78" ht="15" customHeight="1" x14ac:dyDescent="0.25">
      <c r="A45" t="str">
        <v>Table 40</v>
      </c>
      <c r="B45" t="str">
        <v>Noodles - Brand Total Awareness</v>
      </c>
      <c r="C45" t="e">
        <v>#REF!</v>
      </c>
      <c r="M45" t="s">
        <v>479</v>
      </c>
      <c r="N45" s="14" t="s">
        <v>245</v>
      </c>
      <c r="O45" t="e" cm="1">
        <f t="array" ref="O45">INDEX(#REF!,MATCH(BackEnd!N45,#REF!,0)+6,3)</f>
        <v>#REF!</v>
      </c>
      <c r="S45" s="16"/>
      <c r="W45" t="s">
        <v>479</v>
      </c>
      <c r="X45" s="16" t="s">
        <v>43</v>
      </c>
      <c r="Y45" s="17" t="e" cm="1">
        <f t="array" ref="Y45">INDEX(#REF!,MATCH(BackEnd!X45,#REF!,0)+6,3)</f>
        <v>#REF!</v>
      </c>
      <c r="AM45" s="41"/>
      <c r="AN45" s="41"/>
      <c r="AO45" s="41"/>
      <c r="AP45" s="41"/>
      <c r="AQ45" s="41"/>
      <c r="AR45" s="41"/>
      <c r="AS45" s="41"/>
      <c r="AT45" s="41"/>
      <c r="AV45" s="37"/>
      <c r="AW45" s="37"/>
      <c r="AX45" s="37"/>
      <c r="AY45" s="37"/>
      <c r="AZ45" s="37"/>
      <c r="BA45" s="37"/>
      <c r="BB45" s="37"/>
      <c r="BC45" s="37"/>
      <c r="BD45" s="37"/>
      <c r="BE45" s="37"/>
      <c r="BF45" s="37"/>
      <c r="BG45" s="37"/>
      <c r="BH45" s="37"/>
      <c r="BI45" s="37"/>
      <c r="BJ45" s="37"/>
      <c r="BK45" s="37"/>
      <c r="BL45" s="37"/>
      <c r="BM45" s="33"/>
      <c r="BN45" s="34"/>
      <c r="BO45" s="34"/>
      <c r="BP45" s="34"/>
      <c r="BQ45" s="34"/>
      <c r="BR45" s="34"/>
      <c r="BS45" s="34"/>
      <c r="BT45" s="34"/>
      <c r="BU45" s="34"/>
      <c r="BV45" s="34"/>
      <c r="BW45" s="34"/>
      <c r="BX45" s="34"/>
      <c r="BY45" s="34"/>
      <c r="BZ45" s="35"/>
    </row>
    <row r="46" spans="1:78" ht="15" customHeight="1" x14ac:dyDescent="0.25">
      <c r="A46" t="str">
        <v>Table 41</v>
      </c>
      <c r="B46" t="str">
        <v>Noodles - Ad Total Spont</v>
      </c>
      <c r="C46" t="e">
        <v>#REF!</v>
      </c>
      <c r="M46" t="s">
        <v>480</v>
      </c>
      <c r="N46" s="14" t="s">
        <v>246</v>
      </c>
      <c r="O46" t="e" cm="1">
        <f t="array" ref="O46">INDEX(#REF!,MATCH(BackEnd!N46,#REF!,0)+6,3)</f>
        <v>#REF!</v>
      </c>
      <c r="S46" s="16"/>
      <c r="W46" t="s">
        <v>480</v>
      </c>
      <c r="X46" s="16" t="s">
        <v>44</v>
      </c>
      <c r="Y46" s="17" t="e" cm="1">
        <f t="array" ref="Y46">INDEX(#REF!,MATCH(BackEnd!X46,#REF!,0)+6,3)</f>
        <v>#REF!</v>
      </c>
      <c r="AM46" s="41"/>
      <c r="AN46" s="41"/>
      <c r="AO46" s="41"/>
      <c r="AP46" s="41"/>
      <c r="AQ46" s="41"/>
      <c r="AR46" s="41"/>
      <c r="AS46" s="41"/>
      <c r="AT46" s="41"/>
      <c r="AV46" s="37"/>
      <c r="AW46" s="37"/>
      <c r="AX46" s="37"/>
      <c r="AY46" s="37"/>
      <c r="AZ46" s="37"/>
      <c r="BA46" s="37"/>
      <c r="BB46" s="37"/>
      <c r="BC46" s="37"/>
      <c r="BD46" s="37"/>
      <c r="BE46" s="37"/>
      <c r="BF46" s="37"/>
      <c r="BG46" s="37"/>
      <c r="BH46" s="37"/>
      <c r="BI46" s="37"/>
      <c r="BJ46" s="37"/>
      <c r="BK46" s="37"/>
      <c r="BL46" s="37"/>
      <c r="BM46" s="33"/>
      <c r="BN46" s="36"/>
      <c r="BO46" s="36"/>
      <c r="BP46" s="36"/>
      <c r="BQ46" s="36"/>
      <c r="BR46" s="36"/>
    </row>
    <row r="47" spans="1:78" ht="15" customHeight="1" x14ac:dyDescent="0.25">
      <c r="A47" t="str">
        <v>Table 42</v>
      </c>
      <c r="B47" t="str">
        <v>Noodles - Ad Total Awareness</v>
      </c>
      <c r="C47" t="e">
        <v>#REF!</v>
      </c>
      <c r="M47" t="s">
        <v>481</v>
      </c>
      <c r="N47" s="14" t="s">
        <v>247</v>
      </c>
      <c r="O47" t="e" cm="1">
        <f t="array" ref="O47">INDEX(#REF!,MATCH(BackEnd!N47,#REF!,0)+6,3)</f>
        <v>#REF!</v>
      </c>
      <c r="S47" s="16"/>
      <c r="W47" t="s">
        <v>481</v>
      </c>
      <c r="X47" s="16" t="s">
        <v>45</v>
      </c>
      <c r="Y47" s="17" t="e" cm="1">
        <f t="array" ref="Y47">INDEX(#REF!,MATCH(BackEnd!X47,#REF!,0)+6,3)</f>
        <v>#REF!</v>
      </c>
      <c r="AV47" s="37"/>
      <c r="AW47" s="37"/>
      <c r="AX47" s="37"/>
      <c r="AY47" s="37"/>
      <c r="AZ47" s="37"/>
      <c r="BA47" s="37"/>
      <c r="BB47" s="37"/>
      <c r="BC47" s="37"/>
      <c r="BD47" s="37"/>
      <c r="BE47" s="37"/>
      <c r="BF47" s="37"/>
      <c r="BG47" s="37"/>
      <c r="BH47" s="37"/>
      <c r="BI47" s="37"/>
      <c r="BJ47" s="37"/>
      <c r="BK47" s="37"/>
      <c r="BL47" s="37"/>
      <c r="BM47" s="33"/>
      <c r="BN47" s="36"/>
      <c r="BO47" s="36"/>
      <c r="BP47" s="36"/>
      <c r="BQ47" s="36"/>
      <c r="BR47" s="36"/>
    </row>
    <row r="48" spans="1:78" ht="15" customHeight="1" x14ac:dyDescent="0.25">
      <c r="A48" t="str">
        <v>Table 43</v>
      </c>
      <c r="B48" t="str">
        <v>N_FQ1. Which of the following flavors of Noodles will you consider buying in your next purchase?</v>
      </c>
      <c r="C48" t="e">
        <v>#REF!</v>
      </c>
      <c r="M48" t="s">
        <v>482</v>
      </c>
      <c r="N48" s="14" t="s">
        <v>248</v>
      </c>
      <c r="O48" t="e" cm="1">
        <f t="array" ref="O48">INDEX(#REF!,MATCH(BackEnd!N48,#REF!,0)+6,3)</f>
        <v>#REF!</v>
      </c>
      <c r="S48" s="16"/>
      <c r="T48" s="42"/>
      <c r="U48" s="42"/>
      <c r="V48" s="42"/>
      <c r="W48" t="s">
        <v>482</v>
      </c>
      <c r="X48" s="16" t="s">
        <v>46</v>
      </c>
      <c r="Y48" s="17" t="e" cm="1">
        <f t="array" ref="Y48">INDEX(#REF!,MATCH(BackEnd!X48,#REF!,0)+6,3)</f>
        <v>#REF!</v>
      </c>
      <c r="Z48" s="42"/>
      <c r="AA48" s="42"/>
      <c r="AB48" s="42"/>
      <c r="AC48" s="42"/>
      <c r="AD48" s="42"/>
      <c r="AE48" s="42"/>
      <c r="AF48" s="42"/>
      <c r="AG48" s="42"/>
      <c r="AH48" s="42"/>
      <c r="AI48" s="42"/>
      <c r="AJ48" s="42"/>
      <c r="AK48" s="42"/>
      <c r="AL48" s="42"/>
      <c r="AM48" s="42"/>
      <c r="AN48" s="42"/>
      <c r="AO48" s="42"/>
      <c r="AP48" s="42"/>
      <c r="AQ48" s="42"/>
      <c r="AR48" s="42"/>
      <c r="AS48" s="42"/>
      <c r="AT48" s="43"/>
      <c r="AV48" s="37"/>
      <c r="AW48" s="37"/>
      <c r="AX48" s="37"/>
      <c r="AY48" s="37"/>
      <c r="AZ48" s="37"/>
      <c r="BA48" s="37"/>
      <c r="BB48" s="37"/>
      <c r="BC48" s="37"/>
      <c r="BD48" s="37"/>
      <c r="BE48" s="37"/>
      <c r="BF48" s="37"/>
      <c r="BG48" s="37"/>
      <c r="BH48" s="37"/>
      <c r="BI48" s="37"/>
      <c r="BJ48" s="37"/>
      <c r="BK48" s="37"/>
      <c r="BL48" s="37"/>
      <c r="BM48" s="33"/>
      <c r="BN48" s="44"/>
      <c r="BO48" s="44"/>
      <c r="BP48" s="44"/>
      <c r="BQ48" s="44"/>
      <c r="BR48" s="45"/>
    </row>
    <row r="49" spans="1:89" ht="15" customHeight="1" x14ac:dyDescent="0.25">
      <c r="A49" t="str">
        <v>Table 44</v>
      </c>
      <c r="B49" t="str">
        <v>N_QFS1.  Have you seen this ad before?</v>
      </c>
      <c r="C49" t="e">
        <v>#REF!</v>
      </c>
      <c r="M49" t="s">
        <v>483</v>
      </c>
      <c r="N49" s="14" t="s">
        <v>249</v>
      </c>
      <c r="O49" t="e" cm="1">
        <f t="array" ref="O49">INDEX(#REF!,MATCH(BackEnd!N49,#REF!,0)+6,3)</f>
        <v>#REF!</v>
      </c>
      <c r="S49" s="16"/>
      <c r="T49" s="42"/>
      <c r="U49" s="42"/>
      <c r="V49" s="42"/>
      <c r="W49" t="s">
        <v>483</v>
      </c>
      <c r="X49" s="16" t="s">
        <v>47</v>
      </c>
      <c r="Y49" s="17" t="e" cm="1">
        <f t="array" ref="Y49">INDEX(#REF!,MATCH(BackEnd!X49,#REF!,0)+6,3)</f>
        <v>#REF!</v>
      </c>
      <c r="Z49" s="42"/>
      <c r="AA49" s="42"/>
      <c r="AB49" s="42"/>
      <c r="AC49" s="42"/>
      <c r="AD49" s="42"/>
      <c r="AE49" s="42"/>
      <c r="AF49" s="42"/>
      <c r="AG49" s="42"/>
      <c r="AH49" s="42"/>
      <c r="AI49" s="42"/>
      <c r="AJ49" s="42"/>
      <c r="AK49" s="42"/>
      <c r="AL49" s="42"/>
      <c r="AM49" s="42"/>
      <c r="AN49" s="42"/>
      <c r="AO49" s="42"/>
      <c r="AP49" s="42"/>
      <c r="AQ49" s="42"/>
      <c r="AR49" s="42"/>
      <c r="AS49" s="42"/>
      <c r="AT49" s="43"/>
      <c r="AV49" s="37"/>
      <c r="AW49" s="37"/>
      <c r="AX49" s="37"/>
      <c r="AY49" s="37"/>
      <c r="AZ49" s="37"/>
      <c r="BA49" s="37"/>
      <c r="BB49" s="37"/>
      <c r="BC49" s="37"/>
      <c r="BD49" s="37"/>
      <c r="BE49" s="37"/>
      <c r="BF49" s="37"/>
      <c r="BG49" s="37"/>
      <c r="BH49" s="37"/>
      <c r="BI49" s="37"/>
      <c r="BJ49" s="37"/>
      <c r="BK49" s="37"/>
      <c r="BL49" s="37"/>
      <c r="BM49" s="33"/>
      <c r="BN49" s="44"/>
      <c r="BO49" s="44"/>
      <c r="BP49" s="44"/>
      <c r="BQ49" s="44"/>
      <c r="BR49" s="45"/>
    </row>
    <row r="50" spans="1:89" ht="15" customHeight="1" x14ac:dyDescent="0.25">
      <c r="A50" t="str">
        <v>Table 45</v>
      </c>
      <c r="B50" t="str">
        <v>N_QFS2. What were the key message(s) from this activity?</v>
      </c>
      <c r="C50" t="e">
        <v>#REF!</v>
      </c>
      <c r="M50" t="s">
        <v>484</v>
      </c>
      <c r="N50" s="14" t="s">
        <v>250</v>
      </c>
      <c r="O50" t="e" cm="1">
        <f t="array" ref="O50">INDEX(#REF!,MATCH(BackEnd!N50,#REF!,0)+6,3)</f>
        <v>#REF!</v>
      </c>
      <c r="S50" s="16"/>
      <c r="T50" s="42"/>
      <c r="U50" s="42"/>
      <c r="V50" s="42"/>
      <c r="W50" t="s">
        <v>484</v>
      </c>
      <c r="X50" s="16" t="s">
        <v>48</v>
      </c>
      <c r="Y50" s="17" t="e" cm="1">
        <f t="array" ref="Y50">INDEX(#REF!,MATCH(BackEnd!X50,#REF!,0)+6,3)</f>
        <v>#REF!</v>
      </c>
      <c r="Z50" s="42"/>
      <c r="AA50" s="42"/>
      <c r="AB50" s="42"/>
      <c r="AC50" s="42"/>
      <c r="AD50" s="42"/>
      <c r="AE50" s="42"/>
      <c r="AF50" s="42"/>
      <c r="AG50" s="42"/>
      <c r="AH50" s="42"/>
      <c r="AI50" s="52"/>
      <c r="AJ50" s="53"/>
      <c r="AK50" s="53"/>
      <c r="AL50" s="53"/>
      <c r="AM50" s="53"/>
      <c r="AN50" s="53"/>
      <c r="AO50" s="53"/>
      <c r="AP50" s="53"/>
      <c r="AQ50" s="53"/>
      <c r="AR50" s="53"/>
      <c r="AS50" s="53"/>
      <c r="AT50" s="53"/>
      <c r="AU50" s="53"/>
      <c r="AV50" s="53"/>
      <c r="AW50" s="53"/>
      <c r="AX50" s="53"/>
      <c r="AY50" s="53"/>
      <c r="AZ50" s="53"/>
      <c r="BA50" s="53"/>
      <c r="BB50" s="53"/>
      <c r="BC50" s="53"/>
      <c r="BD50" s="53"/>
      <c r="BE50" s="53"/>
      <c r="BF50" s="53"/>
      <c r="BG50" s="53"/>
      <c r="BH50" s="53"/>
      <c r="BI50" s="53"/>
      <c r="BJ50" s="53"/>
      <c r="BK50" s="53"/>
      <c r="BL50" s="53"/>
      <c r="BM50" s="53"/>
      <c r="BN50" s="53"/>
      <c r="BO50" s="53"/>
      <c r="BP50" s="53"/>
      <c r="BQ50" s="53"/>
      <c r="BR50" s="53"/>
      <c r="BS50" s="53"/>
      <c r="BT50" s="53"/>
      <c r="BU50" s="53"/>
      <c r="BV50" s="53"/>
      <c r="BW50" s="53"/>
      <c r="BX50" s="53"/>
      <c r="BY50" s="53"/>
      <c r="BZ50" s="53"/>
      <c r="CA50" s="53"/>
      <c r="CB50" s="53"/>
      <c r="CC50" s="53"/>
      <c r="CD50" s="53"/>
      <c r="CE50" s="53"/>
      <c r="CF50" s="53"/>
      <c r="CG50" s="53"/>
      <c r="CH50" s="53"/>
      <c r="CI50" s="53"/>
      <c r="CJ50" s="53"/>
      <c r="CK50" s="54"/>
    </row>
    <row r="51" spans="1:89" ht="15" customHeight="1" x14ac:dyDescent="0.25">
      <c r="A51" t="str">
        <v>Table 46</v>
      </c>
      <c r="B51" t="str">
        <v>N_QFS3. How likely will this school sampling activity make you want to buy Indomie?</v>
      </c>
      <c r="C51" t="e">
        <v>#REF!</v>
      </c>
      <c r="M51" t="s">
        <v>485</v>
      </c>
      <c r="N51" s="14" t="s">
        <v>251</v>
      </c>
      <c r="O51" t="e" cm="1">
        <f t="array" ref="O51">INDEX(#REF!,MATCH(BackEnd!N51,#REF!,0)+6,3)</f>
        <v>#REF!</v>
      </c>
      <c r="S51" s="16"/>
      <c r="T51" s="42"/>
      <c r="U51" s="42"/>
      <c r="V51" s="42"/>
      <c r="W51" t="s">
        <v>485</v>
      </c>
      <c r="X51" s="16" t="s">
        <v>49</v>
      </c>
      <c r="Y51" s="17" t="e" cm="1">
        <f t="array" ref="Y51">INDEX(#REF!,MATCH(BackEnd!X51,#REF!,0)+6,3)</f>
        <v>#REF!</v>
      </c>
      <c r="Z51" s="42"/>
      <c r="AA51" s="42"/>
      <c r="AB51" s="42"/>
      <c r="AC51" s="42"/>
      <c r="AD51" s="42"/>
      <c r="AE51" s="42"/>
      <c r="AF51" s="42"/>
      <c r="AG51" s="42"/>
      <c r="AH51" s="42"/>
      <c r="AI51" s="52"/>
      <c r="AJ51" s="53"/>
      <c r="AK51" s="53"/>
      <c r="AL51" s="53"/>
      <c r="AM51" s="53"/>
      <c r="AN51" s="53"/>
      <c r="AO51" s="53"/>
      <c r="AP51" s="53"/>
      <c r="AQ51" s="53"/>
      <c r="AR51" s="53"/>
      <c r="AS51" s="53"/>
      <c r="AT51" s="53"/>
      <c r="AU51" s="53"/>
      <c r="AV51" s="53"/>
      <c r="AW51" s="53"/>
      <c r="AX51" s="53"/>
      <c r="AY51" s="53"/>
      <c r="AZ51" s="53"/>
      <c r="BA51" s="53"/>
      <c r="BB51" s="53"/>
      <c r="BC51" s="53"/>
      <c r="BD51" s="53"/>
      <c r="BE51" s="53"/>
      <c r="BF51" s="53"/>
      <c r="BG51" s="53"/>
      <c r="BH51" s="53"/>
      <c r="BI51" s="53"/>
      <c r="BJ51" s="53"/>
      <c r="BK51" s="53"/>
      <c r="BL51" s="53"/>
      <c r="BM51" s="53"/>
      <c r="BN51" s="53"/>
      <c r="BO51" s="53"/>
      <c r="BP51" s="53"/>
      <c r="BQ51" s="53"/>
      <c r="BR51" s="53"/>
      <c r="BS51" s="53"/>
      <c r="BT51" s="53"/>
      <c r="BU51" s="53"/>
      <c r="BV51" s="53"/>
      <c r="BW51" s="53"/>
      <c r="BX51" s="53"/>
      <c r="BY51" s="53"/>
      <c r="BZ51" s="53"/>
      <c r="CA51" s="53"/>
      <c r="CB51" s="53"/>
      <c r="CC51" s="53"/>
      <c r="CD51" s="53"/>
      <c r="CE51" s="53"/>
      <c r="CF51" s="53"/>
      <c r="CG51" s="54"/>
      <c r="CH51" s="1"/>
      <c r="CI51" s="1"/>
      <c r="CJ51" s="1"/>
      <c r="CK51" s="1"/>
    </row>
    <row r="52" spans="1:89" ht="15" customHeight="1" x14ac:dyDescent="0.25">
      <c r="A52" t="str">
        <v>Table 47</v>
      </c>
      <c r="B52" t="str">
        <v>N_QFSB1. Have you seen this ad before?</v>
      </c>
      <c r="C52" t="e">
        <v>#REF!</v>
      </c>
      <c r="M52" t="s">
        <v>486</v>
      </c>
      <c r="N52" s="14" t="s">
        <v>252</v>
      </c>
      <c r="O52" t="e" cm="1">
        <f t="array" ref="O52">INDEX(#REF!,MATCH(BackEnd!N52,#REF!,0)+6,3)</f>
        <v>#REF!</v>
      </c>
      <c r="S52" s="16"/>
      <c r="T52" s="42"/>
      <c r="U52" s="42"/>
      <c r="V52" s="42"/>
      <c r="W52" t="s">
        <v>486</v>
      </c>
      <c r="X52" s="16" t="s">
        <v>50</v>
      </c>
      <c r="Y52" s="17" t="e" cm="1">
        <f t="array" ref="Y52">INDEX(#REF!,MATCH(BackEnd!X52,#REF!,0)+6,3)</f>
        <v>#REF!</v>
      </c>
      <c r="Z52" s="42"/>
      <c r="AA52" s="42"/>
      <c r="AB52" s="42"/>
      <c r="AC52" s="42"/>
      <c r="AD52" s="42"/>
      <c r="AE52" s="42"/>
      <c r="AF52" s="42"/>
      <c r="AG52" s="42"/>
      <c r="AH52" s="42"/>
      <c r="AI52" s="52"/>
      <c r="AJ52" s="53"/>
      <c r="AK52" s="53"/>
      <c r="AL52" s="53"/>
      <c r="AM52" s="53"/>
      <c r="AN52" s="53"/>
      <c r="AO52" s="53"/>
      <c r="AP52" s="53"/>
      <c r="AQ52" s="53"/>
      <c r="AR52" s="53"/>
      <c r="AS52" s="53"/>
      <c r="AT52" s="53"/>
      <c r="AU52" s="53"/>
      <c r="AV52" s="53"/>
      <c r="AW52" s="53"/>
      <c r="AX52" s="53"/>
      <c r="AY52" s="53"/>
      <c r="AZ52" s="53"/>
      <c r="BA52" s="53"/>
      <c r="BB52" s="53"/>
      <c r="BC52" s="53"/>
      <c r="BD52" s="53"/>
      <c r="BE52" s="53"/>
      <c r="BF52" s="53"/>
      <c r="BG52" s="53"/>
      <c r="BH52" s="53"/>
      <c r="BI52" s="53"/>
      <c r="BJ52" s="53"/>
      <c r="BK52" s="53"/>
      <c r="BL52" s="53"/>
      <c r="BM52" s="53"/>
      <c r="BN52" s="53"/>
      <c r="BO52" s="53"/>
      <c r="BP52" s="53"/>
      <c r="BQ52" s="53"/>
      <c r="BR52" s="53"/>
      <c r="BS52" s="53"/>
      <c r="BT52" s="53"/>
      <c r="BU52" s="53"/>
      <c r="BV52" s="53"/>
      <c r="BW52" s="53"/>
      <c r="BX52" s="53"/>
      <c r="BY52" s="53"/>
      <c r="BZ52" s="53"/>
      <c r="CA52" s="53"/>
      <c r="CB52" s="53"/>
      <c r="CC52" s="53"/>
      <c r="CD52" s="53"/>
      <c r="CE52" s="53"/>
      <c r="CF52" s="53"/>
      <c r="CG52" s="54"/>
      <c r="CH52" s="1"/>
      <c r="CI52" s="1"/>
      <c r="CJ52" s="1"/>
      <c r="CK52" s="1"/>
    </row>
    <row r="53" spans="1:89" ht="15" customHeight="1" x14ac:dyDescent="0.25">
      <c r="A53" t="str">
        <v>Table 48</v>
      </c>
      <c r="B53" t="str">
        <v>N_QFSB2. What is the key message(s) you can get from this advert?</v>
      </c>
      <c r="C53" t="e">
        <v>#REF!</v>
      </c>
      <c r="M53" t="s">
        <v>487</v>
      </c>
      <c r="N53" s="14" t="s">
        <v>253</v>
      </c>
      <c r="O53" t="e" cm="1">
        <f t="array" ref="O53">INDEX(#REF!,MATCH(BackEnd!N53,#REF!,0)+6,3)</f>
        <v>#REF!</v>
      </c>
      <c r="S53" s="16"/>
      <c r="T53" s="42"/>
      <c r="U53" s="42"/>
      <c r="V53" s="42"/>
      <c r="W53" t="s">
        <v>487</v>
      </c>
      <c r="X53" s="16" t="s">
        <v>51</v>
      </c>
      <c r="Y53" s="17" t="e" cm="1">
        <f t="array" ref="Y53">INDEX(#REF!,MATCH(BackEnd!X53,#REF!,0)+6,3)</f>
        <v>#REF!</v>
      </c>
      <c r="Z53" s="42"/>
      <c r="AA53" s="42"/>
      <c r="AB53" s="42"/>
      <c r="AC53" s="42"/>
      <c r="AD53" s="42"/>
      <c r="AE53" s="42"/>
      <c r="AF53" s="42"/>
      <c r="AG53" s="42"/>
      <c r="AH53" s="42"/>
    </row>
    <row r="54" spans="1:89" ht="15" customHeight="1" x14ac:dyDescent="0.25">
      <c r="A54" t="str">
        <v>Table 49</v>
      </c>
      <c r="B54" t="str">
        <v>N_QFSB3. How likely did this ad make you want to buy this brand Minimie?</v>
      </c>
      <c r="C54" t="e">
        <v>#REF!</v>
      </c>
      <c r="S54" s="16"/>
      <c r="T54" s="42"/>
      <c r="U54" s="42"/>
      <c r="V54" s="42"/>
      <c r="W54" t="s">
        <v>488</v>
      </c>
      <c r="X54" s="16" t="s">
        <v>52</v>
      </c>
      <c r="Y54" s="17" t="e" cm="1">
        <f t="array" ref="Y54">INDEX(#REF!,MATCH(BackEnd!X54,#REF!,0)+6,3)</f>
        <v>#REF!</v>
      </c>
      <c r="Z54" s="42"/>
      <c r="AA54" s="42"/>
      <c r="AB54" s="42"/>
      <c r="AC54" s="42"/>
      <c r="AD54" s="42"/>
      <c r="AE54" s="42"/>
      <c r="AF54" s="42"/>
      <c r="AG54" s="42"/>
      <c r="AH54" s="42"/>
    </row>
    <row r="55" spans="1:89" ht="15" customHeight="1" x14ac:dyDescent="0.25">
      <c r="A55" t="str">
        <v>Table 50</v>
      </c>
      <c r="B55" t="str">
        <v>N_QFW1. Have you heard of this ad before</v>
      </c>
      <c r="C55" t="e">
        <v>#REF!</v>
      </c>
      <c r="S55" s="16"/>
      <c r="T55" s="42"/>
      <c r="U55" s="42"/>
      <c r="V55" s="42"/>
      <c r="W55" t="s">
        <v>489</v>
      </c>
      <c r="X55" s="16" t="s">
        <v>53</v>
      </c>
      <c r="Y55" s="17" t="e" cm="1">
        <f t="array" ref="Y55">INDEX(#REF!,MATCH(BackEnd!X55,#REF!,0)+6,3)</f>
        <v>#REF!</v>
      </c>
      <c r="Z55" s="42"/>
      <c r="AA55" s="42"/>
      <c r="AB55" s="42"/>
      <c r="AC55" s="42"/>
      <c r="AD55" s="42"/>
      <c r="AE55" s="42"/>
      <c r="AF55" s="42"/>
      <c r="AG55" s="42"/>
      <c r="AH55" s="42"/>
    </row>
    <row r="56" spans="1:89" ht="15" customHeight="1" x14ac:dyDescent="0.25">
      <c r="A56" t="str">
        <v>Table 51</v>
      </c>
      <c r="B56" t="str">
        <v>N_QFW2. What is the key message(s) you can get from this advert?</v>
      </c>
      <c r="C56" t="e">
        <v>#REF!</v>
      </c>
      <c r="S56" s="16"/>
      <c r="T56" s="42"/>
      <c r="U56" s="42"/>
      <c r="V56" s="42"/>
      <c r="W56" t="s">
        <v>490</v>
      </c>
      <c r="X56" s="16" t="s">
        <v>54</v>
      </c>
      <c r="Y56" s="17" t="e" cm="1">
        <f t="array" ref="Y56">INDEX(#REF!,MATCH(BackEnd!X56,#REF!,0)+6,3)</f>
        <v>#REF!</v>
      </c>
      <c r="Z56" s="42"/>
      <c r="AA56" s="42"/>
      <c r="AB56" s="42"/>
      <c r="AC56" s="42"/>
      <c r="AD56" s="42"/>
      <c r="AE56" s="42"/>
      <c r="AF56" s="42"/>
      <c r="AG56" s="42"/>
      <c r="AH56" s="42"/>
    </row>
    <row r="57" spans="1:89" ht="15" customHeight="1" x14ac:dyDescent="0.25">
      <c r="A57" t="str">
        <v>Table 52</v>
      </c>
      <c r="B57" t="str">
        <v>N_QFW3. How likely did this ad make you want to buy this brand Minimie?</v>
      </c>
      <c r="C57" t="e">
        <v>#REF!</v>
      </c>
      <c r="S57" s="16"/>
      <c r="T57" s="42"/>
      <c r="U57" s="42"/>
      <c r="V57" s="42"/>
      <c r="W57" t="s">
        <v>491</v>
      </c>
      <c r="X57" s="16" t="s">
        <v>55</v>
      </c>
      <c r="Y57" s="17" t="e" cm="1">
        <f t="array" ref="Y57">INDEX(#REF!,MATCH(BackEnd!X57,#REF!,0)+6,3)</f>
        <v>#REF!</v>
      </c>
      <c r="Z57" s="42"/>
      <c r="AA57" s="42"/>
      <c r="AB57" s="42"/>
      <c r="AC57" s="42"/>
      <c r="AD57" s="42"/>
      <c r="AE57" s="42"/>
      <c r="AF57" s="42"/>
      <c r="AG57" s="42"/>
      <c r="AH57" s="42"/>
    </row>
    <row r="58" spans="1:89" ht="15" customHeight="1" x14ac:dyDescent="0.25">
      <c r="N58" s="46"/>
      <c r="O58" s="46"/>
      <c r="P58" s="46"/>
      <c r="Q58" s="46"/>
      <c r="S58" s="16"/>
      <c r="T58" s="42"/>
      <c r="U58" s="42"/>
      <c r="V58" s="42"/>
      <c r="W58" t="s">
        <v>492</v>
      </c>
      <c r="X58" s="16" t="s">
        <v>56</v>
      </c>
      <c r="Y58" s="17" t="e" cm="1">
        <f t="array" ref="Y58">INDEX(#REF!,MATCH(BackEnd!X58,#REF!,0)+6,3)</f>
        <v>#REF!</v>
      </c>
      <c r="Z58" s="42"/>
      <c r="AA58" s="42"/>
      <c r="AB58" s="42"/>
      <c r="AC58" s="42"/>
      <c r="AD58" s="42"/>
      <c r="AE58" s="42"/>
      <c r="AF58" s="42"/>
      <c r="AG58" s="42"/>
      <c r="AH58" s="42"/>
    </row>
    <row r="59" spans="1:89" ht="15" customHeight="1" x14ac:dyDescent="0.25">
      <c r="N59" s="46"/>
      <c r="O59" s="46"/>
      <c r="P59" s="46"/>
      <c r="Q59" s="46"/>
      <c r="S59" s="16"/>
      <c r="T59" s="42"/>
      <c r="U59" s="42"/>
      <c r="V59" s="42"/>
      <c r="W59" s="42" t="s">
        <v>493</v>
      </c>
      <c r="X59" s="16" t="s">
        <v>57</v>
      </c>
      <c r="Y59" s="17" t="e" cm="1">
        <f t="array" ref="Y59">INDEX(#REF!,MATCH(BackEnd!X59,#REF!,0)+6,3)</f>
        <v>#REF!</v>
      </c>
      <c r="Z59" s="42"/>
      <c r="AA59" s="42"/>
      <c r="AB59" s="42"/>
      <c r="AC59" s="42"/>
      <c r="AD59" s="42"/>
      <c r="AE59" s="42"/>
      <c r="AF59" s="42"/>
      <c r="AG59" s="42"/>
      <c r="AH59" s="42"/>
    </row>
    <row r="60" spans="1:89" ht="15" customHeight="1" x14ac:dyDescent="0.25">
      <c r="N60" s="46"/>
      <c r="O60" s="46"/>
      <c r="P60" s="46"/>
      <c r="Q60" s="46"/>
      <c r="S60" s="42"/>
      <c r="T60" s="42"/>
      <c r="U60" s="42"/>
      <c r="V60" s="42"/>
      <c r="W60" s="42"/>
      <c r="X60" s="47"/>
      <c r="Y60" s="42"/>
      <c r="Z60" s="42"/>
      <c r="AA60" s="42"/>
      <c r="AB60" s="42"/>
      <c r="AC60" s="42"/>
      <c r="AD60" s="42"/>
      <c r="AE60" s="42"/>
      <c r="AF60" s="42"/>
      <c r="AG60" s="42"/>
      <c r="AH60" s="42"/>
    </row>
    <row r="61" spans="1:89" ht="15" customHeight="1" x14ac:dyDescent="0.25">
      <c r="N61" s="46"/>
      <c r="O61" s="46"/>
      <c r="P61" s="46"/>
      <c r="Q61" s="46"/>
      <c r="S61" s="42"/>
      <c r="T61" s="42"/>
      <c r="U61" s="42"/>
      <c r="V61" s="42"/>
      <c r="W61" s="42"/>
      <c r="X61" s="47"/>
      <c r="Y61" s="42"/>
      <c r="Z61" s="42"/>
      <c r="AA61" s="42"/>
      <c r="AB61" s="42"/>
      <c r="AC61" s="42"/>
      <c r="AD61" s="42"/>
      <c r="AE61" s="42"/>
      <c r="AF61" s="42"/>
      <c r="AG61" s="42"/>
      <c r="AH61" s="42"/>
      <c r="AI61" s="42"/>
      <c r="AJ61" s="42"/>
      <c r="AK61" s="42"/>
      <c r="AL61" s="42"/>
      <c r="AM61" s="42"/>
      <c r="AN61" s="42"/>
      <c r="AO61" s="42"/>
      <c r="AP61" s="42"/>
      <c r="AQ61" s="43"/>
      <c r="AR61" s="36"/>
      <c r="AS61" s="36"/>
      <c r="AT61" s="36"/>
      <c r="AU61" s="36"/>
    </row>
    <row r="62" spans="1:89" ht="15" customHeight="1" x14ac:dyDescent="0.25">
      <c r="N62" s="46"/>
      <c r="O62" s="46"/>
      <c r="P62" s="46"/>
      <c r="Q62" s="46"/>
      <c r="S62" s="42"/>
      <c r="T62" s="42"/>
      <c r="U62" s="42"/>
      <c r="V62" s="42"/>
      <c r="W62" s="42"/>
      <c r="X62" s="47"/>
      <c r="Y62" s="42"/>
      <c r="Z62" s="42"/>
      <c r="AA62" s="42"/>
      <c r="AB62" s="42"/>
      <c r="AC62" s="42"/>
      <c r="AD62" s="42"/>
      <c r="AE62" s="42"/>
      <c r="AF62" s="42"/>
      <c r="AG62" s="42"/>
      <c r="AH62" s="42"/>
      <c r="AI62" s="42"/>
      <c r="AJ62" s="42"/>
      <c r="AK62" s="42"/>
      <c r="AL62" s="43"/>
      <c r="AM62" s="36"/>
      <c r="AN62" s="36"/>
      <c r="AO62" s="36"/>
      <c r="AP62" s="36"/>
      <c r="AQ62" s="36"/>
      <c r="AR62" s="36"/>
      <c r="AS62" s="36"/>
      <c r="AT62" s="36"/>
      <c r="AU62" s="36"/>
    </row>
    <row r="63" spans="1:89" ht="15" customHeight="1" x14ac:dyDescent="0.25">
      <c r="N63" s="46"/>
      <c r="O63" s="46"/>
      <c r="P63" s="46"/>
      <c r="Q63" s="46"/>
      <c r="S63" s="42"/>
      <c r="T63" s="42"/>
      <c r="U63" s="42"/>
      <c r="V63" s="42"/>
      <c r="W63" s="42"/>
      <c r="X63" s="47"/>
      <c r="Y63" s="42"/>
      <c r="Z63" s="42"/>
      <c r="AA63" s="42"/>
      <c r="AB63" s="43"/>
      <c r="AC63" s="36"/>
      <c r="AD63" s="36"/>
      <c r="AE63" s="36"/>
      <c r="AF63" s="36"/>
      <c r="AG63" s="36"/>
      <c r="AH63" s="36"/>
      <c r="AI63" s="36"/>
      <c r="AJ63" s="36"/>
      <c r="AK63" s="36"/>
      <c r="AL63" s="36"/>
      <c r="AM63" s="36"/>
      <c r="AN63" s="36"/>
      <c r="AO63" s="36"/>
      <c r="AP63" s="36"/>
      <c r="AQ63" s="36"/>
      <c r="AR63" s="36"/>
      <c r="AS63" s="36"/>
      <c r="AT63" s="36"/>
      <c r="AU63" s="36"/>
    </row>
    <row r="64" spans="1:89" ht="15" customHeight="1" x14ac:dyDescent="0.25">
      <c r="N64" s="46"/>
      <c r="O64" s="46"/>
      <c r="P64" s="46"/>
      <c r="Q64" s="46"/>
      <c r="S64" s="42"/>
      <c r="T64" s="42"/>
      <c r="U64" s="42"/>
      <c r="V64" s="42"/>
      <c r="W64" s="42"/>
      <c r="X64" s="47"/>
      <c r="Y64" s="42"/>
      <c r="Z64" s="42"/>
      <c r="AA64" s="42"/>
      <c r="AB64" s="42"/>
      <c r="AC64" s="42"/>
      <c r="AD64" s="42"/>
      <c r="AE64" s="42"/>
      <c r="AF64" s="42"/>
      <c r="AG64" s="42"/>
      <c r="AH64" s="42"/>
      <c r="AI64" s="42"/>
      <c r="AJ64" s="42"/>
      <c r="AK64" s="42"/>
      <c r="AL64" s="42"/>
      <c r="AM64" s="42"/>
      <c r="AN64" s="42"/>
      <c r="AO64" s="42"/>
      <c r="AP64" s="42"/>
      <c r="AQ64" s="42"/>
      <c r="AR64" s="42"/>
      <c r="AS64" s="42"/>
      <c r="AT64" s="43"/>
      <c r="AU64" s="36"/>
    </row>
    <row r="65" spans="14:47" ht="15" customHeight="1" x14ac:dyDescent="0.25">
      <c r="N65" s="46"/>
      <c r="O65" s="46"/>
      <c r="P65" s="46"/>
      <c r="Q65" s="46"/>
      <c r="S65" s="42"/>
      <c r="T65" s="42"/>
      <c r="U65" s="42"/>
      <c r="V65" s="42"/>
      <c r="W65" s="42"/>
      <c r="X65" s="47"/>
      <c r="Y65" s="42"/>
      <c r="Z65" s="42"/>
      <c r="AA65" s="42"/>
      <c r="AB65" s="42"/>
      <c r="AC65" s="42"/>
      <c r="AD65" s="42"/>
      <c r="AE65" s="42"/>
      <c r="AF65" s="42"/>
      <c r="AG65" s="42"/>
      <c r="AH65" s="42"/>
      <c r="AI65" s="42"/>
      <c r="AJ65" s="42"/>
      <c r="AK65" s="42"/>
      <c r="AL65" s="42"/>
      <c r="AM65" s="42"/>
      <c r="AN65" s="42"/>
      <c r="AO65" s="42"/>
      <c r="AP65" s="42"/>
      <c r="AQ65" s="42"/>
      <c r="AR65" s="42"/>
      <c r="AS65" s="42"/>
      <c r="AT65" s="43"/>
      <c r="AU65" s="36"/>
    </row>
    <row r="66" spans="14:47" ht="15" customHeight="1" x14ac:dyDescent="0.25">
      <c r="N66" s="46"/>
      <c r="O66" s="46"/>
      <c r="P66" s="46"/>
      <c r="Q66" s="46"/>
      <c r="S66" s="42"/>
      <c r="T66" s="42"/>
      <c r="U66" s="42"/>
      <c r="V66" s="42"/>
      <c r="W66" s="42"/>
      <c r="X66" s="47"/>
      <c r="Y66" s="42"/>
      <c r="Z66" s="42"/>
      <c r="AA66" s="42"/>
      <c r="AB66" s="42"/>
      <c r="AC66" s="42"/>
      <c r="AD66" s="42"/>
      <c r="AE66" s="42"/>
      <c r="AF66" s="42"/>
      <c r="AG66" s="42"/>
      <c r="AH66" s="42"/>
      <c r="AI66" s="42"/>
      <c r="AJ66" s="42"/>
      <c r="AK66" s="42"/>
      <c r="AL66" s="42"/>
      <c r="AM66" s="42"/>
      <c r="AN66" s="42"/>
      <c r="AO66" s="42"/>
      <c r="AP66" s="42"/>
      <c r="AQ66" s="42"/>
      <c r="AR66" s="42"/>
      <c r="AS66" s="42"/>
      <c r="AT66" s="43"/>
      <c r="AU66" s="36"/>
    </row>
    <row r="67" spans="14:47" ht="15" customHeight="1" x14ac:dyDescent="0.25">
      <c r="N67" s="46"/>
      <c r="O67" s="46"/>
      <c r="P67" s="46"/>
      <c r="Q67" s="46"/>
      <c r="S67" s="42"/>
      <c r="T67" s="42"/>
      <c r="U67" s="42"/>
      <c r="V67" s="42"/>
      <c r="W67" s="42"/>
      <c r="X67" s="47"/>
      <c r="Y67" s="42"/>
      <c r="Z67" s="42"/>
      <c r="AA67" s="42"/>
      <c r="AB67" s="42"/>
      <c r="AC67" s="42"/>
      <c r="AD67" s="42"/>
      <c r="AE67" s="42"/>
      <c r="AF67" s="42"/>
      <c r="AG67" s="42"/>
      <c r="AH67" s="42"/>
      <c r="AI67" s="42"/>
      <c r="AJ67" s="42"/>
      <c r="AK67" s="42"/>
      <c r="AL67" s="42"/>
      <c r="AM67" s="42"/>
      <c r="AN67" s="42"/>
      <c r="AO67" s="42"/>
      <c r="AP67" s="42"/>
      <c r="AQ67" s="42"/>
      <c r="AR67" s="42"/>
      <c r="AS67" s="42"/>
      <c r="AT67" s="43"/>
      <c r="AU67" s="36"/>
    </row>
    <row r="68" spans="14:47" ht="15" customHeight="1" x14ac:dyDescent="0.25">
      <c r="N68" s="46"/>
      <c r="O68" s="46"/>
      <c r="P68" s="46"/>
      <c r="Q68" s="46"/>
      <c r="S68" s="42"/>
      <c r="T68" s="42"/>
      <c r="U68" s="42"/>
      <c r="V68" s="42"/>
      <c r="W68" s="42"/>
      <c r="X68" s="47"/>
      <c r="Y68" s="42"/>
      <c r="Z68" s="42"/>
      <c r="AA68" s="42"/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/>
      <c r="AN68" s="42"/>
      <c r="AO68" s="42"/>
      <c r="AP68" s="42"/>
      <c r="AQ68" s="42"/>
      <c r="AR68" s="42"/>
      <c r="AS68" s="42"/>
      <c r="AT68" s="42"/>
      <c r="AU68" s="43"/>
    </row>
    <row r="69" spans="14:47" ht="15" customHeight="1" x14ac:dyDescent="0.25">
      <c r="N69" s="46"/>
      <c r="O69" s="46"/>
      <c r="P69" s="46"/>
      <c r="Q69" s="46"/>
      <c r="S69" s="42"/>
      <c r="T69" s="42"/>
      <c r="U69" s="42"/>
      <c r="V69" s="42"/>
      <c r="W69" s="42"/>
      <c r="X69" s="47"/>
      <c r="Y69" s="42"/>
      <c r="Z69" s="42"/>
      <c r="AA69" s="42"/>
      <c r="AB69" s="42"/>
      <c r="AC69" s="42"/>
      <c r="AD69" s="42"/>
      <c r="AE69" s="42"/>
      <c r="AF69" s="42"/>
      <c r="AG69" s="42"/>
      <c r="AH69" s="42"/>
      <c r="AI69" s="42"/>
      <c r="AJ69" s="42"/>
      <c r="AK69" s="42"/>
      <c r="AL69" s="42"/>
      <c r="AM69" s="42"/>
      <c r="AN69" s="42"/>
      <c r="AO69" s="42"/>
      <c r="AP69" s="42"/>
      <c r="AQ69" s="42"/>
      <c r="AR69" s="42"/>
      <c r="AS69" s="42"/>
      <c r="AT69" s="43"/>
      <c r="AU69" s="36"/>
    </row>
    <row r="70" spans="14:47" ht="15" customHeight="1" x14ac:dyDescent="0.25">
      <c r="N70" s="46"/>
      <c r="O70" s="46"/>
      <c r="P70" s="46"/>
      <c r="Q70" s="46"/>
      <c r="S70" s="42"/>
      <c r="T70" s="42"/>
      <c r="U70" s="42"/>
      <c r="V70" s="42"/>
      <c r="W70" s="42"/>
      <c r="X70" s="47"/>
      <c r="Y70" s="42"/>
      <c r="Z70" s="42"/>
      <c r="AA70" s="42"/>
      <c r="AB70" s="42"/>
      <c r="AC70" s="42"/>
      <c r="AD70" s="42"/>
      <c r="AE70" s="42"/>
      <c r="AF70" s="42"/>
      <c r="AG70" s="42"/>
      <c r="AH70" s="42"/>
      <c r="AI70" s="42"/>
      <c r="AJ70" s="42"/>
      <c r="AK70" s="42"/>
      <c r="AL70" s="42"/>
      <c r="AM70" s="42"/>
      <c r="AN70" s="42"/>
      <c r="AO70" s="42"/>
      <c r="AP70" s="42"/>
      <c r="AQ70" s="42"/>
      <c r="AR70" s="42"/>
      <c r="AS70" s="43"/>
      <c r="AT70" s="36"/>
      <c r="AU70" s="36"/>
    </row>
    <row r="71" spans="14:47" ht="15" customHeight="1" x14ac:dyDescent="0.25">
      <c r="N71" s="46"/>
      <c r="O71" s="46"/>
      <c r="P71" s="46"/>
      <c r="Q71" s="46"/>
      <c r="S71" s="42"/>
      <c r="T71" s="42"/>
      <c r="U71" s="42"/>
      <c r="V71" s="42"/>
      <c r="W71" s="42"/>
      <c r="X71" s="47"/>
      <c r="Y71" s="42"/>
      <c r="Z71" s="42"/>
      <c r="AA71" s="42"/>
      <c r="AB71" s="42"/>
      <c r="AC71" s="42"/>
      <c r="AD71" s="42"/>
      <c r="AE71" s="42"/>
      <c r="AF71" s="42"/>
      <c r="AG71" s="42"/>
      <c r="AH71" s="42"/>
      <c r="AI71" s="42"/>
      <c r="AJ71" s="42"/>
      <c r="AK71" s="42"/>
      <c r="AL71" s="42"/>
      <c r="AM71" s="42"/>
      <c r="AN71" s="42"/>
      <c r="AO71" s="42"/>
      <c r="AP71" s="42"/>
      <c r="AQ71" s="42"/>
      <c r="AR71" s="42"/>
      <c r="AS71" s="43"/>
      <c r="AT71" s="36"/>
      <c r="AU71" s="36"/>
    </row>
    <row r="72" spans="14:47" ht="15" customHeight="1" x14ac:dyDescent="0.25"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8"/>
      <c r="Y72" s="46"/>
      <c r="Z72" s="46"/>
      <c r="AA72" s="46"/>
      <c r="AB72" s="46"/>
      <c r="AC72" s="46"/>
      <c r="AD72" s="46"/>
      <c r="AE72" s="46"/>
      <c r="AF72" s="49"/>
      <c r="AG72" s="1"/>
      <c r="AH72" s="1"/>
      <c r="AI72" s="1"/>
      <c r="AJ72" s="1"/>
      <c r="AK72" s="1"/>
      <c r="AL72" s="1"/>
      <c r="AM72" s="1"/>
      <c r="AN72" s="1"/>
      <c r="AO72" s="1"/>
      <c r="AP72" s="1"/>
    </row>
    <row r="73" spans="14:47" ht="15" customHeight="1" x14ac:dyDescent="0.25"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8"/>
      <c r="Y73" s="46"/>
      <c r="Z73" s="46"/>
      <c r="AA73" s="46"/>
      <c r="AB73" s="46"/>
      <c r="AC73" s="46"/>
      <c r="AD73" s="46"/>
      <c r="AE73" s="49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</row>
    <row r="74" spans="14:47" ht="15" customHeight="1" x14ac:dyDescent="0.25"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8"/>
      <c r="Y74" s="46"/>
      <c r="Z74" s="46"/>
      <c r="AA74" s="46"/>
      <c r="AB74" s="49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</row>
    <row r="75" spans="14:47" ht="15" customHeight="1" x14ac:dyDescent="0.25"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8"/>
      <c r="Y75" s="46"/>
      <c r="Z75" s="46"/>
      <c r="AA75" s="46"/>
      <c r="AB75" s="46"/>
      <c r="AC75" s="46"/>
      <c r="AD75" s="46"/>
      <c r="AE75" s="46"/>
      <c r="AF75" s="46"/>
      <c r="AG75" s="46"/>
      <c r="AH75" s="46"/>
      <c r="AI75" s="46"/>
      <c r="AJ75" s="46"/>
      <c r="AK75" s="46"/>
      <c r="AL75" s="46"/>
      <c r="AM75" s="46"/>
      <c r="AN75" s="46"/>
      <c r="AO75" s="46"/>
      <c r="AP75" s="49"/>
    </row>
    <row r="76" spans="14:47" ht="15" customHeight="1" x14ac:dyDescent="0.25"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8"/>
      <c r="Y76" s="46"/>
      <c r="Z76" s="46"/>
      <c r="AA76" s="46"/>
      <c r="AB76" s="46"/>
      <c r="AC76" s="46"/>
      <c r="AD76" s="46"/>
      <c r="AE76" s="46"/>
      <c r="AF76" s="46"/>
      <c r="AG76" s="46"/>
      <c r="AH76" s="46"/>
      <c r="AI76" s="46"/>
      <c r="AJ76" s="46"/>
      <c r="AK76" s="46"/>
      <c r="AL76" s="46"/>
      <c r="AM76" s="46"/>
      <c r="AN76" s="46"/>
      <c r="AO76" s="46"/>
      <c r="AP76" s="49"/>
    </row>
    <row r="77" spans="14:47" ht="15" customHeight="1" x14ac:dyDescent="0.25"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8"/>
      <c r="Y77" s="46"/>
      <c r="Z77" s="46"/>
      <c r="AA77" s="46"/>
      <c r="AB77" s="46"/>
      <c r="AC77" s="46"/>
      <c r="AD77" s="46"/>
      <c r="AE77" s="46"/>
      <c r="AF77" s="46"/>
      <c r="AG77" s="46"/>
      <c r="AH77" s="46"/>
      <c r="AI77" s="46"/>
      <c r="AJ77" s="46"/>
      <c r="AK77" s="46"/>
      <c r="AL77" s="46"/>
      <c r="AM77" s="46"/>
      <c r="AN77" s="46"/>
      <c r="AO77" s="46"/>
      <c r="AP77" s="49"/>
    </row>
    <row r="78" spans="14:47" ht="15" customHeight="1" x14ac:dyDescent="0.25"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8"/>
      <c r="Y78" s="46"/>
      <c r="Z78" s="46"/>
      <c r="AA78" s="46"/>
      <c r="AB78" s="46"/>
      <c r="AC78" s="46"/>
      <c r="AD78" s="46"/>
      <c r="AE78" s="46"/>
      <c r="AF78" s="46"/>
      <c r="AG78" s="46"/>
      <c r="AH78" s="46"/>
      <c r="AI78" s="46"/>
      <c r="AJ78" s="46"/>
      <c r="AK78" s="46"/>
      <c r="AL78" s="46"/>
      <c r="AM78" s="46"/>
      <c r="AN78" s="46"/>
      <c r="AO78" s="46"/>
      <c r="AP78" s="49"/>
    </row>
    <row r="79" spans="14:47" ht="15" customHeight="1" x14ac:dyDescent="0.25"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8"/>
      <c r="Y79" s="46"/>
      <c r="Z79" s="46"/>
      <c r="AA79" s="46"/>
      <c r="AB79" s="46"/>
      <c r="AC79" s="46"/>
      <c r="AD79" s="46"/>
      <c r="AE79" s="46"/>
      <c r="AF79" s="46"/>
      <c r="AG79" s="46"/>
      <c r="AH79" s="46"/>
      <c r="AI79" s="46"/>
      <c r="AJ79" s="46"/>
      <c r="AK79" s="46"/>
      <c r="AL79" s="46"/>
      <c r="AM79" s="46"/>
      <c r="AN79" s="46"/>
      <c r="AO79" s="46"/>
      <c r="AP79" s="49"/>
    </row>
    <row r="80" spans="14:47" ht="15" customHeight="1" x14ac:dyDescent="0.25"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8"/>
      <c r="Y80" s="46"/>
      <c r="Z80" s="46"/>
      <c r="AA80" s="46"/>
      <c r="AB80" s="46"/>
      <c r="AC80" s="46"/>
      <c r="AD80" s="46"/>
      <c r="AE80" s="46"/>
      <c r="AF80" s="46"/>
      <c r="AG80" s="46"/>
      <c r="AH80" s="46"/>
      <c r="AI80" s="46"/>
      <c r="AJ80" s="46"/>
      <c r="AK80" s="46"/>
      <c r="AL80" s="46"/>
      <c r="AM80" s="46"/>
      <c r="AN80" s="46"/>
      <c r="AO80" s="46"/>
      <c r="AP80" s="49"/>
    </row>
    <row r="81" spans="14:42" ht="15" customHeight="1" x14ac:dyDescent="0.25"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8"/>
      <c r="Y81" s="46"/>
      <c r="Z81" s="46"/>
      <c r="AA81" s="46"/>
      <c r="AB81" s="46"/>
      <c r="AC81" s="46"/>
      <c r="AD81" s="46"/>
      <c r="AE81" s="46"/>
      <c r="AF81" s="46"/>
      <c r="AG81" s="46"/>
      <c r="AH81" s="46"/>
      <c r="AI81" s="46"/>
      <c r="AJ81" s="46"/>
      <c r="AK81" s="46"/>
      <c r="AL81" s="46"/>
      <c r="AM81" s="46"/>
      <c r="AN81" s="46"/>
      <c r="AO81" s="46"/>
      <c r="AP81" s="49"/>
    </row>
  </sheetData>
  <mergeCells count="3">
    <mergeCell ref="AI50:CK50"/>
    <mergeCell ref="AI51:CG51"/>
    <mergeCell ref="AI52:CG52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2529" r:id="rId3" name="Button 1">
              <controlPr defaultSize="0" autoFill="0" autoPict="0">
                <anchor moveWithCells="1" sizeWithCells="1">
                  <from>
                    <xdr:col>28</xdr:col>
                    <xdr:colOff>0</xdr:colOff>
                    <xdr:row>0</xdr:row>
                    <xdr:rowOff>0</xdr:rowOff>
                  </from>
                  <to>
                    <xdr:col>29</xdr:col>
                    <xdr:colOff>0</xdr:colOff>
                    <xdr:row>1</xdr:row>
                    <xdr:rowOff>28575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E152749A3915E42BD59C92C5F9BFF95" ma:contentTypeVersion="3" ma:contentTypeDescription="Create a new document." ma:contentTypeScope="" ma:versionID="9e4d529e501caba4f04681eb3d9668ea">
  <xsd:schema xmlns:xsd="http://www.w3.org/2001/XMLSchema" xmlns:xs="http://www.w3.org/2001/XMLSchema" xmlns:p="http://schemas.microsoft.com/office/2006/metadata/properties" xmlns:ns2="8fda6251-09d7-4ff9-9731-6c97ef73dbf9" targetNamespace="http://schemas.microsoft.com/office/2006/metadata/properties" ma:root="true" ma:fieldsID="6a0b3116fb33f08f2c7d6910ee84a540" ns2:_="">
    <xsd:import namespace="8fda6251-09d7-4ff9-9731-6c97ef73dbf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da6251-09d7-4ff9-9731-6c97ef73db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028AC74-1584-4EE9-96F3-458458D7A3C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fda6251-09d7-4ff9-9731-6c97ef73dbf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09D8E23-2D5B-4AF3-87C5-841FC1CBA736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F217960D-BB6A-45B8-8CF4-89515676CC3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Home</vt:lpstr>
      <vt:lpstr>BackEnd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Amen Oyenuga</dc:creator>
  <cp:lastModifiedBy>Adesina Adeyemo</cp:lastModifiedBy>
  <dcterms:created xsi:type="dcterms:W3CDTF">2026-04-04T08:10:57Z</dcterms:created>
  <dcterms:modified xsi:type="dcterms:W3CDTF">2026-06-16T23:05:40Z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0x0101004E152749A3915E42BD59C92C5F9BFF95</vt:lpwstr>
  </property>
</Properties>
</file>